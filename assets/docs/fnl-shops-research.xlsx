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demidov18/Documents/Маркетплейс/"/>
    </mc:Choice>
  </mc:AlternateContent>
  <xr:revisionPtr revIDLastSave="0" documentId="13_ncr:1_{24225E07-D654-1F49-9E0C-5D61C1EE1F18}" xr6:coauthVersionLast="47" xr6:coauthVersionMax="47" xr10:uidLastSave="{00000000-0000-0000-0000-000000000000}"/>
  <bookViews>
    <workbookView xWindow="0" yWindow="660" windowWidth="29400" windowHeight="18460" xr2:uid="{56C4A083-58A3-BE44-A2AC-7C85F5227CB3}"/>
  </bookViews>
  <sheets>
    <sheet name="Лист2" sheetId="2" r:id="rId1"/>
  </sheets>
  <definedNames>
    <definedName name="_xlnm._FilterDatabase" localSheetId="0" hidden="1">Лист2!$A$1:$Q$74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/>
  <c r="P11" i="2"/>
  <c r="P4" i="2"/>
  <c r="P56" i="2"/>
  <c r="P70" i="2"/>
  <c r="P6" i="2"/>
  <c r="P54" i="2"/>
  <c r="P22" i="2"/>
  <c r="P2" i="2"/>
  <c r="P12" i="2"/>
  <c r="P36" i="2"/>
  <c r="P17" i="2"/>
  <c r="P63" i="2"/>
  <c r="P33" i="2"/>
  <c r="P21" i="2"/>
  <c r="P67" i="2"/>
  <c r="P66" i="2"/>
  <c r="P8" i="2"/>
  <c r="P25" i="2"/>
  <c r="P49" i="2"/>
  <c r="P10" i="2"/>
  <c r="P23" i="2"/>
  <c r="P52" i="2"/>
  <c r="P15" i="2"/>
  <c r="P51" i="2"/>
  <c r="P24" i="2"/>
  <c r="P32" i="2"/>
  <c r="P31" i="2"/>
  <c r="P47" i="2"/>
  <c r="P60" i="2"/>
  <c r="P35" i="2"/>
  <c r="P7" i="2"/>
  <c r="P45" i="2"/>
  <c r="P16" i="2"/>
  <c r="P38" i="2"/>
  <c r="P39" i="2"/>
  <c r="P69" i="2"/>
  <c r="P19" i="2"/>
  <c r="P28" i="2"/>
  <c r="P37" i="2"/>
  <c r="P40" i="2"/>
  <c r="P44" i="2"/>
  <c r="P29" i="2"/>
  <c r="P41" i="2"/>
  <c r="P62" i="2"/>
  <c r="P57" i="2"/>
  <c r="P14" i="2"/>
  <c r="P71" i="2"/>
  <c r="P5" i="2"/>
  <c r="P26" i="2"/>
  <c r="P50" i="2"/>
  <c r="P73" i="2"/>
  <c r="P13" i="2"/>
  <c r="P65" i="2"/>
  <c r="P20" i="2"/>
  <c r="P58" i="2"/>
  <c r="P34" i="2"/>
  <c r="P48" i="2"/>
  <c r="P46" i="2"/>
  <c r="P42" i="2"/>
  <c r="P53" i="2"/>
  <c r="P61" i="2"/>
  <c r="P18" i="2"/>
  <c r="P27" i="2"/>
  <c r="P55" i="2"/>
  <c r="P68" i="2"/>
  <c r="P64" i="2"/>
  <c r="P72" i="2"/>
  <c r="P3" i="2"/>
  <c r="P59" i="2"/>
  <c r="P43" i="2"/>
  <c r="P74" i="2"/>
  <c r="P30" i="2"/>
  <c r="C77" i="2"/>
  <c r="D11" i="2"/>
  <c r="D31" i="2"/>
  <c r="D70" i="2"/>
  <c r="D23" i="2"/>
  <c r="D56" i="2"/>
  <c r="D6" i="2"/>
  <c r="D30" i="2"/>
  <c r="P77" i="2" l="1"/>
  <c r="P76" i="2"/>
  <c r="D77" i="2"/>
  <c r="D76" i="2"/>
  <c r="P79" i="2"/>
</calcChain>
</file>

<file path=xl/sharedStrings.xml><?xml version="1.0" encoding="utf-8"?>
<sst xmlns="http://schemas.openxmlformats.org/spreadsheetml/2006/main" count="395" uniqueCount="156">
  <si>
    <t>Волга</t>
  </si>
  <si>
    <t>Шарф</t>
  </si>
  <si>
    <t>Аксессуары</t>
  </si>
  <si>
    <t>Есть онлайн магазин</t>
  </si>
  <si>
    <t>Casual</t>
  </si>
  <si>
    <t>SKU</t>
  </si>
  <si>
    <t>КАМАЗ</t>
  </si>
  <si>
    <t>Торпедо</t>
  </si>
  <si>
    <t>Факел</t>
  </si>
  <si>
    <t>Черноморец</t>
  </si>
  <si>
    <t>Шинник</t>
  </si>
  <si>
    <t>Нефтехимик</t>
  </si>
  <si>
    <t>Уфа</t>
  </si>
  <si>
    <t>Сокол</t>
  </si>
  <si>
    <t>Чайка</t>
  </si>
  <si>
    <t>Спартак Кострома</t>
  </si>
  <si>
    <t>Велес</t>
  </si>
  <si>
    <t>Текстильщик</t>
  </si>
  <si>
    <t>Машук</t>
  </si>
  <si>
    <t>Ленинградец</t>
  </si>
  <si>
    <t>Волгарь</t>
  </si>
  <si>
    <t>Сибирь</t>
  </si>
  <si>
    <t>Динамо Киров</t>
  </si>
  <si>
    <t>Алания</t>
  </si>
  <si>
    <t>Тюмень</t>
  </si>
  <si>
    <t>Муром</t>
  </si>
  <si>
    <t>Иртыш</t>
  </si>
  <si>
    <t>Авангард</t>
  </si>
  <si>
    <t>Калуга</t>
  </si>
  <si>
    <t>Торпедо Миасс</t>
  </si>
  <si>
    <t>Кубань</t>
  </si>
  <si>
    <t>Динамо Владивосток</t>
  </si>
  <si>
    <t>Динамо Ставрополь</t>
  </si>
  <si>
    <t>Кубань Холдинг</t>
  </si>
  <si>
    <t>Победа</t>
  </si>
  <si>
    <t>Севастополь</t>
  </si>
  <si>
    <t>Нарт</t>
  </si>
  <si>
    <t>Астрахань</t>
  </si>
  <si>
    <t>Дружба</t>
  </si>
  <si>
    <t>Спартак Нальчик</t>
  </si>
  <si>
    <t>Легион</t>
  </si>
  <si>
    <t>Рубин Ялта</t>
  </si>
  <si>
    <t>Ангушт</t>
  </si>
  <si>
    <t>Торпедо Владимир</t>
  </si>
  <si>
    <t>Коломна</t>
  </si>
  <si>
    <t>Звезда</t>
  </si>
  <si>
    <t>Луки-Энергия</t>
  </si>
  <si>
    <t>Тверь</t>
  </si>
  <si>
    <t>Космос</t>
  </si>
  <si>
    <t>Динамо Вологда</t>
  </si>
  <si>
    <t>Иркутск</t>
  </si>
  <si>
    <t>Чертаново</t>
  </si>
  <si>
    <t>Череповец</t>
  </si>
  <si>
    <t>Сатурн</t>
  </si>
  <si>
    <t>Рязань</t>
  </si>
  <si>
    <t>Зенит Пенза</t>
  </si>
  <si>
    <t>Знамя Труда</t>
  </si>
  <si>
    <t>Строгино</t>
  </si>
  <si>
    <t>Квант</t>
  </si>
  <si>
    <t>Динамо СПб</t>
  </si>
  <si>
    <t>Спартак Тамбов</t>
  </si>
  <si>
    <t>Салют</t>
  </si>
  <si>
    <t>Орел</t>
  </si>
  <si>
    <t>Динамо Брянск</t>
  </si>
  <si>
    <t>Металлург</t>
  </si>
  <si>
    <t>Носта</t>
  </si>
  <si>
    <t>Динамо Барнаул</t>
  </si>
  <si>
    <t>Химик</t>
  </si>
  <si>
    <t xml:space="preserve">Амкар </t>
  </si>
  <si>
    <t>Волна</t>
  </si>
  <si>
    <t>КДВ</t>
  </si>
  <si>
    <t xml:space="preserve">Есть оффлайн магазин </t>
  </si>
  <si>
    <t>Есть продажа атрибутики на матче</t>
  </si>
  <si>
    <t>Енисей + Енисей-2</t>
  </si>
  <si>
    <t>СКА + СКА-2</t>
  </si>
  <si>
    <t>Урал + Урал-2</t>
  </si>
  <si>
    <t>Арсенал + Арсенал-2</t>
  </si>
  <si>
    <t>Челябинск + Челябинск-2</t>
  </si>
  <si>
    <t>Ротор + Ротор-2</t>
  </si>
  <si>
    <t>Родина + Родина-2 + Родина-М</t>
  </si>
  <si>
    <t>Коммент.</t>
  </si>
  <si>
    <t>магазин в разработке</t>
  </si>
  <si>
    <t>да</t>
  </si>
  <si>
    <t xml:space="preserve">да </t>
  </si>
  <si>
    <t>нет</t>
  </si>
  <si>
    <t>Команда</t>
  </si>
  <si>
    <t>Город</t>
  </si>
  <si>
    <t>Челябинск</t>
  </si>
  <si>
    <t>Иваново</t>
  </si>
  <si>
    <t>Нижегородская область</t>
  </si>
  <si>
    <t>Набережные Челны</t>
  </si>
  <si>
    <t>Песчанокопское</t>
  </si>
  <si>
    <t>Владикавказ</t>
  </si>
  <si>
    <t>Омск</t>
  </si>
  <si>
    <t>Краснодар</t>
  </si>
  <si>
    <t>Владивосток</t>
  </si>
  <si>
    <t>Павловская</t>
  </si>
  <si>
    <t>Хасавюрт</t>
  </si>
  <si>
    <t>Майкоп</t>
  </si>
  <si>
    <t>Нальчик</t>
  </si>
  <si>
    <t>Махачкала</t>
  </si>
  <si>
    <t>Ялта</t>
  </si>
  <si>
    <t>Назрань</t>
  </si>
  <si>
    <t>Владимир</t>
  </si>
  <si>
    <t>Великие Луки</t>
  </si>
  <si>
    <t>Раменское</t>
  </si>
  <si>
    <t>Пенза</t>
  </si>
  <si>
    <t>Москва</t>
  </si>
  <si>
    <t>Тамбов</t>
  </si>
  <si>
    <t>Белгород</t>
  </si>
  <si>
    <t>Орёл</t>
  </si>
  <si>
    <t>Новотроицк</t>
  </si>
  <si>
    <t>Барнаул</t>
  </si>
  <si>
    <t>Томск</t>
  </si>
  <si>
    <t>Екатеринбург</t>
  </si>
  <si>
    <t>Волгоград</t>
  </si>
  <si>
    <t>Новороссийск</t>
  </si>
  <si>
    <t>Хабаровск</t>
  </si>
  <si>
    <t>Ярославль</t>
  </si>
  <si>
    <t>Новосибирск</t>
  </si>
  <si>
    <t>Пермь</t>
  </si>
  <si>
    <t>Кострома</t>
  </si>
  <si>
    <t>Тула</t>
  </si>
  <si>
    <t>Ульяновск</t>
  </si>
  <si>
    <t>Нижнекамск</t>
  </si>
  <si>
    <t>Курск</t>
  </si>
  <si>
    <t>Ленинградская область</t>
  </si>
  <si>
    <t>Саратов</t>
  </si>
  <si>
    <t>Вологда</t>
  </si>
  <si>
    <t>Ставрополь</t>
  </si>
  <si>
    <t>Черкесск</t>
  </si>
  <si>
    <t>Пятигорск</t>
  </si>
  <si>
    <t>Дзержинск</t>
  </si>
  <si>
    <t>Воронеж</t>
  </si>
  <si>
    <t>Красноярск</t>
  </si>
  <si>
    <t>Киров</t>
  </si>
  <si>
    <t>Долгопрудный</t>
  </si>
  <si>
    <t>Миасс</t>
  </si>
  <si>
    <t>Брянск</t>
  </si>
  <si>
    <t>Липецк</t>
  </si>
  <si>
    <t>Санкт-Петербург</t>
  </si>
  <si>
    <t>Орехово-Зуево</t>
  </si>
  <si>
    <t>Обнинск</t>
  </si>
  <si>
    <t>Население</t>
  </si>
  <si>
    <t>Песчанокопский городской округ - 25584, Ростовская область - 4152518 чел.</t>
  </si>
  <si>
    <t>Средняя посещаемость за сезон 2024/25</t>
  </si>
  <si>
    <t>Итого:</t>
  </si>
  <si>
    <t>Среднее:</t>
  </si>
  <si>
    <t>пустой на сайте</t>
  </si>
  <si>
    <t>Шапка</t>
  </si>
  <si>
    <t>Кепка+Панама</t>
  </si>
  <si>
    <t>Спорт одежда</t>
  </si>
  <si>
    <t>Программки</t>
  </si>
  <si>
    <t>Игровая форма</t>
  </si>
  <si>
    <t>Рощино</t>
  </si>
  <si>
    <t>Домодедово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</si>
</sst>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3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3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076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0" fontId="0" fillId="0" borderId="1" xfId="0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1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64" fontId="0" fillId="8" borderId="1" xfId="1" applyNumberFormat="1" applyFont="1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4" fillId="7" borderId="0" xfId="1" applyNumberFormat="1" applyFont="1" applyFill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64" fontId="4" fillId="7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164" fontId="4" fillId="7" borderId="0" xfId="1" applyNumberFormat="1" applyFont="1" applyFill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3">
    <cellStyle name="Обычный" xfId="0" builtinId="0"/>
    <cellStyle name="Обычный 22" xfId="2" xr:uid="{490A9DC6-B6CE-0E4E-870A-EAB03C62E8CB}"/>
    <cellStyle name="Финансовый" xfId="1" builtinId="3"/>
  </cellStyles>
  <dxfs count="11">
    <dxf>
      <fill>
        <patternFill patternType="solid">
          <fgColor rgb="FFC30000"/>
          <bgColor rgb="FF00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9076"/>
        </patternFill>
      </fill>
    </dxf>
    <dxf>
      <fill>
        <patternFill>
          <bgColor theme="9" tint="0.39994506668294322"/>
        </patternFill>
      </fill>
    </dxf>
    <dxf>
      <fill>
        <patternFill>
          <bgColor rgb="FFFF9076"/>
        </patternFill>
      </fill>
    </dxf>
    <dxf>
      <fill>
        <patternFill>
          <bgColor theme="9" tint="0.39994506668294322"/>
        </patternFill>
      </fill>
    </dxf>
    <dxf>
      <fill>
        <patternFill>
          <bgColor rgb="FFFF9076"/>
        </patternFill>
      </fill>
    </dxf>
    <dxf>
      <fill>
        <patternFill>
          <bgColor theme="9" tint="0.39994506668294322"/>
        </patternFill>
      </fill>
    </dxf>
    <dxf>
      <fill>
        <patternFill>
          <bgColor rgb="FFFF9076"/>
        </patternFill>
      </fill>
    </dxf>
    <dxf>
      <fill>
        <patternFill>
          <bgColor rgb="FFFF9076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076"/>
      <color rgb="FFC30000"/>
      <color rgb="FFFA83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0DF9-78D5-D849-8002-AD05BBF27B37}">
  <sheetPr filterMode="1"/>
  <dimension ref="A1:Q1048576"/>
  <sheetViews>
    <sheetView tabSelected="1" workbookViewId="0">
      <pane xSplit="1" topLeftCell="B1" activePane="topRight" state="frozen"/>
      <selection pane="topRight" activeCell="E27" sqref="E27"/>
    </sheetView>
  </sheetViews>
  <sheetFormatPr baseColWidth="10" defaultRowHeight="16" x14ac:dyDescent="0.2"/>
  <cols>
    <col min="1" max="1" width="28.33203125" style="5" bestFit="1" customWidth="1"/>
    <col min="2" max="2" width="22" style="21" bestFit="1" customWidth="1"/>
    <col min="3" max="3" width="14" style="22" bestFit="1" customWidth="1"/>
    <col min="4" max="4" width="13.1640625" style="35" customWidth="1"/>
    <col min="5" max="5" width="14.6640625" style="33" customWidth="1"/>
    <col min="6" max="6" width="14" style="33" customWidth="1"/>
    <col min="7" max="7" width="12.33203125" style="33" customWidth="1"/>
    <col min="8" max="8" width="16.6640625" style="5" bestFit="1" customWidth="1"/>
    <col min="9" max="9" width="8.6640625" style="5" bestFit="1" customWidth="1"/>
    <col min="10" max="10" width="16.1640625" style="5" bestFit="1" customWidth="1"/>
    <col min="11" max="11" width="17.83203125" style="5" bestFit="1" customWidth="1"/>
    <col min="12" max="12" width="13.5" style="5" bestFit="1" customWidth="1"/>
    <col min="13" max="13" width="15.6640625" style="5" bestFit="1" customWidth="1"/>
    <col min="14" max="14" width="14.33203125" style="5" bestFit="1" customWidth="1"/>
    <col min="15" max="15" width="14.33203125" style="5" customWidth="1"/>
    <col min="16" max="16" width="10.83203125" style="5"/>
    <col min="17" max="17" width="25.33203125" style="5" bestFit="1" customWidth="1"/>
    <col min="18" max="16384" width="10.83203125" style="5"/>
  </cols>
  <sheetData>
    <row r="1" spans="1:17" ht="67" customHeight="1" x14ac:dyDescent="0.2">
      <c r="A1" s="1" t="s">
        <v>85</v>
      </c>
      <c r="B1" s="2" t="s">
        <v>86</v>
      </c>
      <c r="C1" s="3" t="s">
        <v>143</v>
      </c>
      <c r="D1" s="24" t="s">
        <v>145</v>
      </c>
      <c r="E1" s="25" t="s">
        <v>72</v>
      </c>
      <c r="F1" s="26" t="s">
        <v>71</v>
      </c>
      <c r="G1" s="26" t="s">
        <v>3</v>
      </c>
      <c r="H1" s="1" t="s">
        <v>153</v>
      </c>
      <c r="I1" s="1" t="s">
        <v>1</v>
      </c>
      <c r="J1" s="1" t="s">
        <v>150</v>
      </c>
      <c r="K1" s="1" t="s">
        <v>149</v>
      </c>
      <c r="L1" s="1" t="s">
        <v>2</v>
      </c>
      <c r="M1" s="1" t="s">
        <v>151</v>
      </c>
      <c r="N1" s="1" t="s">
        <v>4</v>
      </c>
      <c r="O1" s="1" t="s">
        <v>152</v>
      </c>
      <c r="P1" s="1" t="s">
        <v>5</v>
      </c>
      <c r="Q1" s="4" t="s">
        <v>80</v>
      </c>
    </row>
    <row r="2" spans="1:17" hidden="1" x14ac:dyDescent="0.2">
      <c r="A2" s="14" t="s">
        <v>10</v>
      </c>
      <c r="B2" s="1" t="s">
        <v>118</v>
      </c>
      <c r="C2" s="16">
        <v>567443</v>
      </c>
      <c r="D2" s="31">
        <v>2712</v>
      </c>
      <c r="E2" s="28" t="s">
        <v>84</v>
      </c>
      <c r="F2" s="28" t="s">
        <v>82</v>
      </c>
      <c r="G2" s="28" t="s">
        <v>82</v>
      </c>
      <c r="H2" s="1">
        <v>6</v>
      </c>
      <c r="I2" s="1">
        <v>2</v>
      </c>
      <c r="J2" s="1">
        <v>1</v>
      </c>
      <c r="K2" s="1">
        <v>2</v>
      </c>
      <c r="L2" s="1">
        <v>41</v>
      </c>
      <c r="M2" s="1">
        <v>7</v>
      </c>
      <c r="N2" s="1">
        <v>6</v>
      </c>
      <c r="O2" s="1">
        <v>1</v>
      </c>
      <c r="P2" s="5">
        <f>SUM($H2:$O2)</f>
        <v>66</v>
      </c>
    </row>
    <row r="3" spans="1:17" x14ac:dyDescent="0.2">
      <c r="A3" s="6" t="s">
        <v>51</v>
      </c>
      <c r="B3" s="7" t="s">
        <v>107</v>
      </c>
      <c r="C3" s="8">
        <v>13149803</v>
      </c>
      <c r="D3" s="27">
        <v>142</v>
      </c>
      <c r="E3" s="28" t="s">
        <v>84</v>
      </c>
      <c r="F3" s="28" t="s">
        <v>84</v>
      </c>
      <c r="G3" s="29" t="s">
        <v>82</v>
      </c>
      <c r="H3" s="1">
        <v>0</v>
      </c>
      <c r="I3" s="1">
        <v>0</v>
      </c>
      <c r="J3" s="1">
        <v>0</v>
      </c>
      <c r="K3" s="1">
        <v>0</v>
      </c>
      <c r="L3" s="9">
        <v>9</v>
      </c>
      <c r="M3" s="23">
        <v>0</v>
      </c>
      <c r="N3" s="9">
        <v>3</v>
      </c>
      <c r="O3" s="23">
        <v>0</v>
      </c>
      <c r="P3" s="5">
        <f>SUM($H3:$O3)</f>
        <v>12</v>
      </c>
    </row>
    <row r="4" spans="1:17" hidden="1" x14ac:dyDescent="0.2">
      <c r="A4" s="14" t="s">
        <v>9</v>
      </c>
      <c r="B4" s="7" t="s">
        <v>116</v>
      </c>
      <c r="C4" s="8">
        <v>343971</v>
      </c>
      <c r="D4" s="27">
        <v>5988</v>
      </c>
      <c r="E4" s="28" t="s">
        <v>84</v>
      </c>
      <c r="F4" s="28" t="s">
        <v>82</v>
      </c>
      <c r="G4" s="28" t="s">
        <v>82</v>
      </c>
      <c r="H4" s="1">
        <v>8</v>
      </c>
      <c r="I4" s="1">
        <v>4</v>
      </c>
      <c r="J4" s="1">
        <v>6</v>
      </c>
      <c r="K4" s="1">
        <v>6</v>
      </c>
      <c r="L4" s="1">
        <v>69</v>
      </c>
      <c r="M4" s="1">
        <v>14</v>
      </c>
      <c r="N4" s="1">
        <v>17</v>
      </c>
      <c r="O4" s="1">
        <v>0</v>
      </c>
      <c r="P4" s="5">
        <f>SUM($H4:$O4)</f>
        <v>124</v>
      </c>
    </row>
    <row r="5" spans="1:17" x14ac:dyDescent="0.2">
      <c r="A5" s="6" t="s">
        <v>52</v>
      </c>
      <c r="B5" s="7" t="s">
        <v>52</v>
      </c>
      <c r="C5" s="8">
        <v>298790</v>
      </c>
      <c r="D5" s="27">
        <v>507</v>
      </c>
      <c r="E5" s="28" t="s">
        <v>84</v>
      </c>
      <c r="F5" s="28" t="s">
        <v>84</v>
      </c>
      <c r="G5" s="29" t="s">
        <v>82</v>
      </c>
      <c r="H5" s="1">
        <v>0</v>
      </c>
      <c r="I5" s="9">
        <v>2</v>
      </c>
      <c r="J5" s="9">
        <v>3</v>
      </c>
      <c r="K5" s="1">
        <v>0</v>
      </c>
      <c r="L5" s="9">
        <v>12</v>
      </c>
      <c r="M5" s="11">
        <v>0</v>
      </c>
      <c r="N5" s="9">
        <v>5</v>
      </c>
      <c r="O5" s="9">
        <v>1</v>
      </c>
      <c r="P5" s="5">
        <f>SUM($H5:$O5)</f>
        <v>23</v>
      </c>
    </row>
    <row r="6" spans="1:17" hidden="1" x14ac:dyDescent="0.2">
      <c r="A6" s="14" t="s">
        <v>77</v>
      </c>
      <c r="B6" s="7" t="s">
        <v>87</v>
      </c>
      <c r="C6" s="8">
        <v>1177058</v>
      </c>
      <c r="D6" s="27">
        <f>2775+284</f>
        <v>3059</v>
      </c>
      <c r="E6" s="28" t="s">
        <v>82</v>
      </c>
      <c r="F6" s="28" t="s">
        <v>84</v>
      </c>
      <c r="G6" s="28" t="s">
        <v>84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5">
        <f>SUM($H6:$O6)</f>
        <v>0</v>
      </c>
    </row>
    <row r="7" spans="1:17" hidden="1" x14ac:dyDescent="0.2">
      <c r="A7" s="14" t="s">
        <v>14</v>
      </c>
      <c r="B7" s="7" t="s">
        <v>91</v>
      </c>
      <c r="C7" s="8">
        <v>8512</v>
      </c>
      <c r="D7" s="27">
        <v>1052</v>
      </c>
      <c r="E7" s="30" t="s">
        <v>84</v>
      </c>
      <c r="F7" s="30" t="s">
        <v>84</v>
      </c>
      <c r="G7" s="30" t="s">
        <v>84</v>
      </c>
      <c r="H7" s="11">
        <v>0</v>
      </c>
      <c r="I7" s="11">
        <v>0</v>
      </c>
      <c r="J7" s="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5">
        <f>SUM($H7:$O7)</f>
        <v>0</v>
      </c>
      <c r="Q7" s="15" t="s">
        <v>144</v>
      </c>
    </row>
    <row r="8" spans="1:17" x14ac:dyDescent="0.2">
      <c r="A8" s="6" t="s">
        <v>35</v>
      </c>
      <c r="B8" s="7" t="s">
        <v>35</v>
      </c>
      <c r="C8" s="8">
        <v>561374</v>
      </c>
      <c r="D8" s="27">
        <v>1986</v>
      </c>
      <c r="E8" s="28" t="s">
        <v>84</v>
      </c>
      <c r="F8" s="29" t="s">
        <v>82</v>
      </c>
      <c r="G8" s="29" t="s">
        <v>82</v>
      </c>
      <c r="H8" s="9">
        <v>1</v>
      </c>
      <c r="I8" s="9">
        <v>3</v>
      </c>
      <c r="J8" s="9">
        <v>1</v>
      </c>
      <c r="K8" s="9">
        <v>0</v>
      </c>
      <c r="L8" s="9">
        <v>25</v>
      </c>
      <c r="M8" s="9">
        <v>1</v>
      </c>
      <c r="N8" s="9">
        <v>7</v>
      </c>
      <c r="O8" s="9">
        <v>0</v>
      </c>
      <c r="P8" s="5">
        <f>SUM($H8:$O8)</f>
        <v>38</v>
      </c>
    </row>
    <row r="9" spans="1:17" hidden="1" x14ac:dyDescent="0.2">
      <c r="A9" s="14" t="s">
        <v>8</v>
      </c>
      <c r="B9" s="7" t="s">
        <v>133</v>
      </c>
      <c r="C9" s="8">
        <v>1046425</v>
      </c>
      <c r="D9" s="27">
        <v>8554</v>
      </c>
      <c r="E9" s="28" t="s">
        <v>82</v>
      </c>
      <c r="F9" s="28" t="s">
        <v>83</v>
      </c>
      <c r="G9" s="28" t="s">
        <v>82</v>
      </c>
      <c r="H9" s="1">
        <v>3</v>
      </c>
      <c r="I9" s="1">
        <v>0</v>
      </c>
      <c r="J9" s="1">
        <v>5</v>
      </c>
      <c r="K9" s="1">
        <v>0</v>
      </c>
      <c r="L9" s="1">
        <v>79</v>
      </c>
      <c r="M9" s="1">
        <v>9</v>
      </c>
      <c r="N9" s="1">
        <v>46</v>
      </c>
      <c r="O9" s="1">
        <v>29</v>
      </c>
      <c r="P9" s="5">
        <f>SUM($H9:$O9)</f>
        <v>171</v>
      </c>
      <c r="Q9" s="37"/>
    </row>
    <row r="10" spans="1:17" hidden="1" x14ac:dyDescent="0.2">
      <c r="A10" s="14" t="s">
        <v>12</v>
      </c>
      <c r="B10" s="7" t="s">
        <v>12</v>
      </c>
      <c r="C10" s="8">
        <v>1163304</v>
      </c>
      <c r="D10" s="27">
        <v>1687</v>
      </c>
      <c r="E10" s="28" t="s">
        <v>84</v>
      </c>
      <c r="F10" s="29" t="s">
        <v>82</v>
      </c>
      <c r="G10" s="28" t="s">
        <v>84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5">
        <f>SUM($H10:$O10)</f>
        <v>0</v>
      </c>
    </row>
    <row r="11" spans="1:17" hidden="1" x14ac:dyDescent="0.2">
      <c r="A11" s="14" t="s">
        <v>75</v>
      </c>
      <c r="B11" s="7" t="s">
        <v>114</v>
      </c>
      <c r="C11" s="8">
        <v>1536183</v>
      </c>
      <c r="D11" s="27">
        <f>9010+79</f>
        <v>9089</v>
      </c>
      <c r="E11" s="28" t="s">
        <v>82</v>
      </c>
      <c r="F11" s="28" t="s">
        <v>82</v>
      </c>
      <c r="G11" s="28" t="s">
        <v>82</v>
      </c>
      <c r="H11" s="1">
        <v>12</v>
      </c>
      <c r="I11" s="1">
        <v>12</v>
      </c>
      <c r="J11" s="1">
        <v>25</v>
      </c>
      <c r="K11" s="1">
        <v>10</v>
      </c>
      <c r="L11" s="1">
        <v>132</v>
      </c>
      <c r="M11" s="1">
        <v>12</v>
      </c>
      <c r="N11" s="1">
        <v>49</v>
      </c>
      <c r="O11" s="1">
        <v>0</v>
      </c>
      <c r="P11" s="5">
        <f>SUM($H11:$O11)</f>
        <v>252</v>
      </c>
      <c r="Q11" s="4"/>
    </row>
    <row r="12" spans="1:17" hidden="1" x14ac:dyDescent="0.2">
      <c r="A12" s="10" t="s">
        <v>24</v>
      </c>
      <c r="B12" s="7" t="s">
        <v>24</v>
      </c>
      <c r="C12" s="8">
        <v>861098</v>
      </c>
      <c r="D12" s="27">
        <v>2613</v>
      </c>
      <c r="E12" s="28" t="s">
        <v>84</v>
      </c>
      <c r="F12" s="29" t="s">
        <v>82</v>
      </c>
      <c r="G12" s="29" t="s">
        <v>82</v>
      </c>
      <c r="H12" s="9">
        <v>4</v>
      </c>
      <c r="I12" s="9">
        <v>5</v>
      </c>
      <c r="J12" s="9">
        <v>3</v>
      </c>
      <c r="K12" s="9">
        <v>7</v>
      </c>
      <c r="L12" s="9">
        <v>37</v>
      </c>
      <c r="M12" s="9">
        <v>0</v>
      </c>
      <c r="N12" s="9">
        <v>7</v>
      </c>
      <c r="O12" s="9">
        <v>0</v>
      </c>
      <c r="P12" s="5">
        <f>SUM($H12:$O12)</f>
        <v>63</v>
      </c>
    </row>
    <row r="13" spans="1:17" hidden="1" x14ac:dyDescent="0.2">
      <c r="A13" s="13" t="s">
        <v>29</v>
      </c>
      <c r="B13" s="7" t="s">
        <v>137</v>
      </c>
      <c r="C13" s="8">
        <v>147287</v>
      </c>
      <c r="D13" s="27">
        <v>441</v>
      </c>
      <c r="E13" s="28" t="s">
        <v>84</v>
      </c>
      <c r="F13" s="28" t="s">
        <v>84</v>
      </c>
      <c r="G13" s="29" t="s">
        <v>82</v>
      </c>
      <c r="H13" s="1">
        <v>0</v>
      </c>
      <c r="I13" s="1">
        <v>0</v>
      </c>
      <c r="J13" s="1">
        <v>0</v>
      </c>
      <c r="K13" s="1">
        <v>0</v>
      </c>
      <c r="L13" s="9">
        <v>1</v>
      </c>
      <c r="M13" s="11">
        <v>0</v>
      </c>
      <c r="N13" s="1">
        <v>0</v>
      </c>
      <c r="O13" s="11">
        <v>0</v>
      </c>
      <c r="P13" s="5">
        <f>SUM($H13:$O13)</f>
        <v>1</v>
      </c>
    </row>
    <row r="14" spans="1:17" x14ac:dyDescent="0.2">
      <c r="A14" s="6" t="s">
        <v>54</v>
      </c>
      <c r="B14" s="7" t="s">
        <v>54</v>
      </c>
      <c r="C14" s="8">
        <v>520509</v>
      </c>
      <c r="D14" s="27">
        <v>568</v>
      </c>
      <c r="E14" s="28" t="s">
        <v>84</v>
      </c>
      <c r="F14" s="28" t="s">
        <v>84</v>
      </c>
      <c r="G14" s="29" t="s">
        <v>82</v>
      </c>
      <c r="H14" s="1">
        <v>0</v>
      </c>
      <c r="I14" s="9">
        <v>2</v>
      </c>
      <c r="J14" s="1">
        <v>0</v>
      </c>
      <c r="K14" s="1">
        <v>0</v>
      </c>
      <c r="L14" s="9">
        <v>12</v>
      </c>
      <c r="M14" s="11">
        <v>0</v>
      </c>
      <c r="N14" s="9">
        <v>1</v>
      </c>
      <c r="O14" s="9">
        <v>0</v>
      </c>
      <c r="P14" s="5">
        <f>SUM($H14:$O14)</f>
        <v>15</v>
      </c>
      <c r="Q14" s="37"/>
    </row>
    <row r="15" spans="1:17" hidden="1" x14ac:dyDescent="0.2">
      <c r="A15" s="14" t="s">
        <v>7</v>
      </c>
      <c r="B15" s="7" t="s">
        <v>107</v>
      </c>
      <c r="C15" s="8">
        <v>13149803</v>
      </c>
      <c r="D15" s="27">
        <v>1516</v>
      </c>
      <c r="E15" s="28" t="s">
        <v>82</v>
      </c>
      <c r="F15" s="28" t="s">
        <v>84</v>
      </c>
      <c r="G15" s="28" t="s">
        <v>84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1">
        <v>0</v>
      </c>
      <c r="N15" s="1">
        <v>0</v>
      </c>
      <c r="O15" s="11">
        <v>0</v>
      </c>
      <c r="P15" s="5">
        <f>SUM($H15:$O15)</f>
        <v>0</v>
      </c>
      <c r="Q15" s="5" t="s">
        <v>81</v>
      </c>
    </row>
    <row r="16" spans="1:17" hidden="1" x14ac:dyDescent="0.2">
      <c r="A16" s="10" t="s">
        <v>17</v>
      </c>
      <c r="B16" s="7" t="s">
        <v>88</v>
      </c>
      <c r="C16" s="8">
        <v>358437</v>
      </c>
      <c r="D16" s="27">
        <v>984</v>
      </c>
      <c r="E16" s="29" t="s">
        <v>82</v>
      </c>
      <c r="F16" s="28" t="s">
        <v>84</v>
      </c>
      <c r="G16" s="28" t="s">
        <v>84</v>
      </c>
      <c r="H16" s="1">
        <v>0</v>
      </c>
      <c r="I16" s="11">
        <v>0</v>
      </c>
      <c r="J16" s="11">
        <v>0</v>
      </c>
      <c r="K16" s="11">
        <v>0</v>
      </c>
      <c r="L16" s="1">
        <v>0</v>
      </c>
      <c r="M16" s="11">
        <v>0</v>
      </c>
      <c r="N16" s="1">
        <v>0</v>
      </c>
      <c r="O16" s="11">
        <v>0</v>
      </c>
      <c r="P16" s="5">
        <f>SUM($H16:$O16)</f>
        <v>0</v>
      </c>
    </row>
    <row r="17" spans="1:17" x14ac:dyDescent="0.2">
      <c r="A17" s="6" t="s">
        <v>64</v>
      </c>
      <c r="B17" s="7" t="s">
        <v>139</v>
      </c>
      <c r="C17" s="8">
        <v>485260</v>
      </c>
      <c r="D17" s="27">
        <v>2450</v>
      </c>
      <c r="E17" s="28" t="s">
        <v>82</v>
      </c>
      <c r="F17" s="28" t="s">
        <v>84</v>
      </c>
      <c r="G17" s="28" t="s">
        <v>82</v>
      </c>
      <c r="H17" s="11">
        <v>3</v>
      </c>
      <c r="I17" s="11">
        <v>0</v>
      </c>
      <c r="J17" s="11">
        <v>8</v>
      </c>
      <c r="K17" s="11">
        <v>0</v>
      </c>
      <c r="L17" s="11">
        <v>34</v>
      </c>
      <c r="M17" s="11">
        <v>0</v>
      </c>
      <c r="N17" s="11">
        <v>3</v>
      </c>
      <c r="O17" s="11">
        <v>0</v>
      </c>
      <c r="P17" s="5">
        <f>SUM($H17:$O17)</f>
        <v>48</v>
      </c>
    </row>
    <row r="18" spans="1:17" x14ac:dyDescent="0.2">
      <c r="A18" s="6" t="s">
        <v>48</v>
      </c>
      <c r="B18" s="7" t="s">
        <v>136</v>
      </c>
      <c r="C18" s="8">
        <v>119089</v>
      </c>
      <c r="D18" s="27">
        <v>243</v>
      </c>
      <c r="E18" s="28" t="s">
        <v>84</v>
      </c>
      <c r="F18" s="28" t="s">
        <v>84</v>
      </c>
      <c r="G18" s="29" t="s">
        <v>82</v>
      </c>
      <c r="H18" s="1">
        <v>0</v>
      </c>
      <c r="I18" s="9">
        <v>1</v>
      </c>
      <c r="J18" s="1">
        <v>0</v>
      </c>
      <c r="K18" s="1">
        <v>0</v>
      </c>
      <c r="L18" s="9">
        <v>1</v>
      </c>
      <c r="M18" s="23">
        <v>0</v>
      </c>
      <c r="N18" s="1">
        <v>0</v>
      </c>
      <c r="O18" s="23">
        <v>0</v>
      </c>
      <c r="P18" s="5">
        <f>SUM($H18:$O18)</f>
        <v>2</v>
      </c>
      <c r="Q18" s="37"/>
    </row>
    <row r="19" spans="1:17" x14ac:dyDescent="0.2">
      <c r="A19" s="6" t="s">
        <v>44</v>
      </c>
      <c r="B19" s="7" t="s">
        <v>44</v>
      </c>
      <c r="C19" s="8">
        <v>132247</v>
      </c>
      <c r="D19" s="27">
        <v>876</v>
      </c>
      <c r="E19" s="28" t="s">
        <v>82</v>
      </c>
      <c r="F19" s="28" t="s">
        <v>84</v>
      </c>
      <c r="G19" s="29" t="s">
        <v>82</v>
      </c>
      <c r="H19" s="9">
        <v>2</v>
      </c>
      <c r="I19" s="9">
        <v>2</v>
      </c>
      <c r="J19" s="1">
        <v>0</v>
      </c>
      <c r="K19" s="1">
        <v>0</v>
      </c>
      <c r="L19" s="9">
        <v>2</v>
      </c>
      <c r="M19" s="9">
        <v>0</v>
      </c>
      <c r="N19" s="1">
        <v>0</v>
      </c>
      <c r="O19" s="1">
        <v>0</v>
      </c>
      <c r="P19" s="5">
        <f>SUM($H19:$O19)</f>
        <v>6</v>
      </c>
    </row>
    <row r="20" spans="1:17" x14ac:dyDescent="0.2">
      <c r="A20" s="6" t="s">
        <v>58</v>
      </c>
      <c r="B20" s="7" t="s">
        <v>142</v>
      </c>
      <c r="C20" s="8">
        <v>132477</v>
      </c>
      <c r="D20" s="27">
        <v>400</v>
      </c>
      <c r="E20" s="28" t="s">
        <v>84</v>
      </c>
      <c r="F20" s="28" t="s">
        <v>84</v>
      </c>
      <c r="G20" s="29" t="s">
        <v>82</v>
      </c>
      <c r="H20" s="9">
        <v>3</v>
      </c>
      <c r="I20" s="9">
        <v>3</v>
      </c>
      <c r="J20" s="1">
        <v>0</v>
      </c>
      <c r="K20" s="1">
        <v>0</v>
      </c>
      <c r="L20" s="9">
        <v>15</v>
      </c>
      <c r="M20" s="11">
        <v>0</v>
      </c>
      <c r="N20" s="1">
        <v>1</v>
      </c>
      <c r="O20" s="11">
        <v>0</v>
      </c>
      <c r="P20" s="5">
        <f>SUM($H20:$O20)</f>
        <v>22</v>
      </c>
    </row>
    <row r="21" spans="1:17" hidden="1" x14ac:dyDescent="0.2">
      <c r="A21" s="14" t="s">
        <v>15</v>
      </c>
      <c r="B21" s="7" t="s">
        <v>121</v>
      </c>
      <c r="C21" s="8">
        <v>265761</v>
      </c>
      <c r="D21" s="27">
        <v>2180</v>
      </c>
      <c r="E21" s="28" t="s">
        <v>84</v>
      </c>
      <c r="F21" s="29" t="s">
        <v>82</v>
      </c>
      <c r="G21" s="29" t="s">
        <v>82</v>
      </c>
      <c r="H21" s="1">
        <v>0</v>
      </c>
      <c r="I21" s="9">
        <v>2</v>
      </c>
      <c r="J21" s="9">
        <v>3</v>
      </c>
      <c r="K21" s="9">
        <v>0</v>
      </c>
      <c r="L21" s="9">
        <v>43</v>
      </c>
      <c r="M21" s="9">
        <v>0</v>
      </c>
      <c r="N21" s="9">
        <v>12</v>
      </c>
      <c r="O21" s="9" t="s">
        <v>82</v>
      </c>
      <c r="P21" s="5">
        <f>SUM($H21:$O21)</f>
        <v>60</v>
      </c>
      <c r="Q21" s="37"/>
    </row>
    <row r="22" spans="1:17" hidden="1" x14ac:dyDescent="0.2">
      <c r="A22" s="14" t="s">
        <v>13</v>
      </c>
      <c r="B22" s="7" t="s">
        <v>127</v>
      </c>
      <c r="C22" s="8">
        <v>887365</v>
      </c>
      <c r="D22" s="27">
        <v>2832</v>
      </c>
      <c r="E22" s="28" t="s">
        <v>84</v>
      </c>
      <c r="F22" s="28" t="s">
        <v>84</v>
      </c>
      <c r="G22" s="28" t="s">
        <v>82</v>
      </c>
      <c r="H22" s="1">
        <v>5</v>
      </c>
      <c r="I22" s="1">
        <v>2</v>
      </c>
      <c r="J22" s="1">
        <v>1</v>
      </c>
      <c r="K22" s="1">
        <v>1</v>
      </c>
      <c r="L22" s="1">
        <v>4</v>
      </c>
      <c r="M22" s="11">
        <v>0</v>
      </c>
      <c r="N22" s="1">
        <v>0</v>
      </c>
      <c r="O22" s="1">
        <v>0</v>
      </c>
      <c r="P22" s="5">
        <f>SUM($H22:$O22)</f>
        <v>13</v>
      </c>
    </row>
    <row r="23" spans="1:17" hidden="1" x14ac:dyDescent="0.2">
      <c r="A23" s="14" t="s">
        <v>74</v>
      </c>
      <c r="B23" s="7" t="s">
        <v>117</v>
      </c>
      <c r="C23" s="8">
        <v>615570</v>
      </c>
      <c r="D23" s="27">
        <f>1510+137</f>
        <v>1647</v>
      </c>
      <c r="E23" s="28" t="s">
        <v>84</v>
      </c>
      <c r="F23" s="29" t="s">
        <v>82</v>
      </c>
      <c r="G23" s="29" t="s">
        <v>82</v>
      </c>
      <c r="H23" s="1">
        <v>0</v>
      </c>
      <c r="I23" s="9">
        <v>6</v>
      </c>
      <c r="J23" s="9">
        <v>6</v>
      </c>
      <c r="K23" s="9">
        <v>3</v>
      </c>
      <c r="L23" s="9">
        <v>26</v>
      </c>
      <c r="M23" s="9">
        <v>0</v>
      </c>
      <c r="N23" s="9">
        <v>39</v>
      </c>
      <c r="O23" s="9">
        <v>0</v>
      </c>
      <c r="P23" s="5">
        <f>SUM($H23:$O23)</f>
        <v>80</v>
      </c>
    </row>
    <row r="24" spans="1:17" hidden="1" x14ac:dyDescent="0.2">
      <c r="A24" s="10" t="s">
        <v>21</v>
      </c>
      <c r="B24" s="7" t="s">
        <v>119</v>
      </c>
      <c r="C24" s="8">
        <v>1633851</v>
      </c>
      <c r="D24" s="27">
        <v>1380</v>
      </c>
      <c r="E24" s="28" t="s">
        <v>82</v>
      </c>
      <c r="F24" s="29" t="s">
        <v>82</v>
      </c>
      <c r="G24" s="29" t="s">
        <v>82</v>
      </c>
      <c r="H24" s="9">
        <v>5</v>
      </c>
      <c r="I24" s="9">
        <v>0</v>
      </c>
      <c r="J24" s="9">
        <v>1</v>
      </c>
      <c r="K24" s="9">
        <v>0</v>
      </c>
      <c r="L24" s="9">
        <v>16</v>
      </c>
      <c r="M24" s="9">
        <v>5</v>
      </c>
      <c r="N24" s="9">
        <v>13</v>
      </c>
      <c r="O24" s="9">
        <v>0</v>
      </c>
      <c r="P24" s="5">
        <f>SUM($H24:$O24)</f>
        <v>40</v>
      </c>
      <c r="Q24" s="37"/>
    </row>
    <row r="25" spans="1:17" x14ac:dyDescent="0.2">
      <c r="A25" s="6" t="s">
        <v>50</v>
      </c>
      <c r="B25" s="7" t="s">
        <v>50</v>
      </c>
      <c r="C25" s="8">
        <v>606369</v>
      </c>
      <c r="D25" s="27">
        <v>1877</v>
      </c>
      <c r="E25" s="28" t="s">
        <v>84</v>
      </c>
      <c r="F25" s="28" t="s">
        <v>84</v>
      </c>
      <c r="G25" s="29" t="s">
        <v>82</v>
      </c>
      <c r="H25" s="1">
        <v>0</v>
      </c>
      <c r="I25" s="9">
        <v>1</v>
      </c>
      <c r="J25" s="9">
        <v>1</v>
      </c>
      <c r="K25" s="9">
        <v>0</v>
      </c>
      <c r="L25" s="9">
        <v>2</v>
      </c>
      <c r="M25" s="11">
        <v>0</v>
      </c>
      <c r="N25" s="1">
        <v>0</v>
      </c>
      <c r="O25" s="11">
        <v>0</v>
      </c>
      <c r="P25" s="5">
        <f>SUM($H25:$O25)</f>
        <v>4</v>
      </c>
    </row>
    <row r="26" spans="1:17" x14ac:dyDescent="0.2">
      <c r="A26" s="6" t="s">
        <v>56</v>
      </c>
      <c r="B26" s="7" t="s">
        <v>141</v>
      </c>
      <c r="C26" s="8">
        <v>104728</v>
      </c>
      <c r="D26" s="27">
        <v>506</v>
      </c>
      <c r="E26" s="29" t="s">
        <v>82</v>
      </c>
      <c r="F26" s="28" t="s">
        <v>84</v>
      </c>
      <c r="G26" s="29" t="s">
        <v>82</v>
      </c>
      <c r="H26" s="1">
        <v>0</v>
      </c>
      <c r="I26" s="9">
        <v>2</v>
      </c>
      <c r="J26" s="1">
        <v>0</v>
      </c>
      <c r="K26" s="9">
        <v>0</v>
      </c>
      <c r="L26" s="9">
        <v>11</v>
      </c>
      <c r="M26" s="23">
        <v>0</v>
      </c>
      <c r="N26" s="23">
        <v>0</v>
      </c>
      <c r="O26" s="1">
        <v>0</v>
      </c>
      <c r="P26" s="5">
        <f>SUM($H26:$O26)</f>
        <v>13</v>
      </c>
    </row>
    <row r="27" spans="1:17" x14ac:dyDescent="0.2">
      <c r="A27" s="6" t="s">
        <v>45</v>
      </c>
      <c r="B27" s="7" t="s">
        <v>140</v>
      </c>
      <c r="C27" s="8">
        <v>5597763</v>
      </c>
      <c r="D27" s="27">
        <v>233</v>
      </c>
      <c r="E27" s="28" t="s">
        <v>84</v>
      </c>
      <c r="F27" s="28" t="s">
        <v>84</v>
      </c>
      <c r="G27" s="29" t="s">
        <v>82</v>
      </c>
      <c r="H27" s="1">
        <v>0</v>
      </c>
      <c r="I27" s="9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5">
        <f>SUM($H27:$O27)</f>
        <v>1</v>
      </c>
    </row>
    <row r="28" spans="1:17" x14ac:dyDescent="0.2">
      <c r="A28" s="6" t="s">
        <v>32</v>
      </c>
      <c r="B28" s="7" t="s">
        <v>129</v>
      </c>
      <c r="C28" s="8">
        <v>557271</v>
      </c>
      <c r="D28" s="27">
        <v>834</v>
      </c>
      <c r="E28" s="28" t="s">
        <v>84</v>
      </c>
      <c r="F28" s="28" t="s">
        <v>84</v>
      </c>
      <c r="G28" s="29" t="s">
        <v>82</v>
      </c>
      <c r="H28" s="1">
        <v>0</v>
      </c>
      <c r="I28" s="9">
        <v>3</v>
      </c>
      <c r="J28" s="1">
        <v>0</v>
      </c>
      <c r="K28" s="9">
        <v>1</v>
      </c>
      <c r="L28" s="9">
        <v>0</v>
      </c>
      <c r="M28" s="9">
        <v>0</v>
      </c>
      <c r="N28" s="1">
        <v>0</v>
      </c>
      <c r="O28" s="1">
        <v>5</v>
      </c>
      <c r="P28" s="5">
        <f>SUM($H28:$O28)</f>
        <v>9</v>
      </c>
    </row>
    <row r="29" spans="1:17" x14ac:dyDescent="0.2">
      <c r="A29" s="6" t="s">
        <v>59</v>
      </c>
      <c r="B29" s="7" t="s">
        <v>140</v>
      </c>
      <c r="C29" s="8">
        <v>5597763</v>
      </c>
      <c r="D29" s="27">
        <v>736</v>
      </c>
      <c r="E29" s="28" t="s">
        <v>84</v>
      </c>
      <c r="F29" s="28" t="s">
        <v>84</v>
      </c>
      <c r="G29" s="29" t="s">
        <v>82</v>
      </c>
      <c r="H29" s="9">
        <v>1</v>
      </c>
      <c r="I29" s="1">
        <v>1</v>
      </c>
      <c r="J29" s="1">
        <v>1</v>
      </c>
      <c r="K29" s="11">
        <v>0</v>
      </c>
      <c r="L29" s="9">
        <v>1</v>
      </c>
      <c r="M29" s="23">
        <v>0</v>
      </c>
      <c r="N29" s="9">
        <v>3</v>
      </c>
      <c r="O29" s="11" t="s">
        <v>82</v>
      </c>
      <c r="P29" s="5">
        <f>SUM($H29:$O29)</f>
        <v>7</v>
      </c>
    </row>
    <row r="30" spans="1:17" hidden="1" x14ac:dyDescent="0.2">
      <c r="A30" s="14" t="s">
        <v>78</v>
      </c>
      <c r="B30" s="7" t="s">
        <v>115</v>
      </c>
      <c r="C30" s="8">
        <v>1018898</v>
      </c>
      <c r="D30" s="27">
        <f>14392+274</f>
        <v>14666</v>
      </c>
      <c r="E30" s="28" t="s">
        <v>82</v>
      </c>
      <c r="F30" s="28" t="s">
        <v>82</v>
      </c>
      <c r="G30" s="28" t="s">
        <v>82</v>
      </c>
      <c r="H30" s="1">
        <v>8</v>
      </c>
      <c r="I30" s="1">
        <v>16</v>
      </c>
      <c r="J30" s="1">
        <v>9</v>
      </c>
      <c r="K30" s="1">
        <v>2</v>
      </c>
      <c r="L30" s="1">
        <v>54</v>
      </c>
      <c r="M30" s="1">
        <v>6</v>
      </c>
      <c r="N30" s="1">
        <v>16</v>
      </c>
      <c r="O30" s="1">
        <v>23</v>
      </c>
      <c r="P30" s="5">
        <f>SUM($H30:$O30)</f>
        <v>134</v>
      </c>
    </row>
    <row r="31" spans="1:17" hidden="1" x14ac:dyDescent="0.2">
      <c r="A31" s="14" t="s">
        <v>79</v>
      </c>
      <c r="B31" s="7" t="s">
        <v>107</v>
      </c>
      <c r="C31" s="8">
        <v>13149803</v>
      </c>
      <c r="D31" s="27">
        <f>986+146+82</f>
        <v>1214</v>
      </c>
      <c r="E31" s="29" t="s">
        <v>82</v>
      </c>
      <c r="F31" s="29" t="s">
        <v>82</v>
      </c>
      <c r="G31" s="29" t="s">
        <v>82</v>
      </c>
      <c r="H31" s="9">
        <v>5</v>
      </c>
      <c r="I31" s="9">
        <v>8</v>
      </c>
      <c r="J31" s="9">
        <v>4</v>
      </c>
      <c r="K31" s="9">
        <v>7</v>
      </c>
      <c r="L31" s="9">
        <v>26</v>
      </c>
      <c r="M31" s="9">
        <v>8</v>
      </c>
      <c r="N31" s="9">
        <v>27</v>
      </c>
      <c r="O31" s="9">
        <v>9</v>
      </c>
      <c r="P31" s="5">
        <f>SUM($H31:$O31)</f>
        <v>94</v>
      </c>
    </row>
    <row r="32" spans="1:17" x14ac:dyDescent="0.2">
      <c r="A32" s="6" t="s">
        <v>49</v>
      </c>
      <c r="B32" s="7" t="s">
        <v>128</v>
      </c>
      <c r="C32" s="8">
        <v>311859</v>
      </c>
      <c r="D32" s="27">
        <v>1343</v>
      </c>
      <c r="E32" s="28" t="s">
        <v>84</v>
      </c>
      <c r="F32" s="28" t="s">
        <v>84</v>
      </c>
      <c r="G32" s="29" t="s">
        <v>82</v>
      </c>
      <c r="H32" s="1">
        <v>0</v>
      </c>
      <c r="I32" s="9">
        <v>1</v>
      </c>
      <c r="J32" s="9">
        <v>3</v>
      </c>
      <c r="K32" s="9">
        <v>0</v>
      </c>
      <c r="L32" s="9">
        <v>4</v>
      </c>
      <c r="M32" s="9">
        <v>1</v>
      </c>
      <c r="N32" s="9">
        <v>4</v>
      </c>
      <c r="O32" s="9">
        <v>0</v>
      </c>
      <c r="P32" s="5">
        <f>SUM($H32:$O32)</f>
        <v>13</v>
      </c>
    </row>
    <row r="33" spans="1:17" x14ac:dyDescent="0.2">
      <c r="A33" s="6" t="s">
        <v>63</v>
      </c>
      <c r="B33" s="7" t="s">
        <v>138</v>
      </c>
      <c r="C33" s="8">
        <v>373310</v>
      </c>
      <c r="D33" s="27">
        <v>2309</v>
      </c>
      <c r="E33" s="28" t="s">
        <v>84</v>
      </c>
      <c r="F33" s="28" t="s">
        <v>84</v>
      </c>
      <c r="G33" s="29" t="s">
        <v>82</v>
      </c>
      <c r="H33" s="9">
        <v>4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9">
        <v>1</v>
      </c>
      <c r="O33" s="9">
        <v>0</v>
      </c>
      <c r="P33" s="5">
        <f>SUM($H33:$O33)</f>
        <v>7</v>
      </c>
      <c r="Q33" s="12"/>
    </row>
    <row r="34" spans="1:17" x14ac:dyDescent="0.2">
      <c r="A34" s="6" t="s">
        <v>37</v>
      </c>
      <c r="B34" s="7" t="s">
        <v>37</v>
      </c>
      <c r="C34" s="8">
        <v>465524</v>
      </c>
      <c r="D34" s="27">
        <v>361</v>
      </c>
      <c r="E34" s="28" t="s">
        <v>84</v>
      </c>
      <c r="F34" s="28" t="s">
        <v>84</v>
      </c>
      <c r="G34" s="29" t="s">
        <v>82</v>
      </c>
      <c r="H34" s="1">
        <v>0</v>
      </c>
      <c r="I34" s="9">
        <v>1</v>
      </c>
      <c r="J34" s="1">
        <v>1</v>
      </c>
      <c r="K34" s="9">
        <v>0</v>
      </c>
      <c r="L34" s="9">
        <v>3</v>
      </c>
      <c r="M34" s="11">
        <v>0</v>
      </c>
      <c r="N34" s="1">
        <v>0</v>
      </c>
      <c r="O34" s="11">
        <v>0</v>
      </c>
      <c r="P34" s="5">
        <f>SUM($H34:$O34)</f>
        <v>5</v>
      </c>
    </row>
    <row r="35" spans="1:17" hidden="1" x14ac:dyDescent="0.2">
      <c r="A35" s="14" t="s">
        <v>11</v>
      </c>
      <c r="B35" s="7" t="s">
        <v>124</v>
      </c>
      <c r="C35" s="8">
        <v>240379</v>
      </c>
      <c r="D35" s="27">
        <v>1103</v>
      </c>
      <c r="E35" s="28" t="s">
        <v>84</v>
      </c>
      <c r="F35" s="28" t="s">
        <v>84</v>
      </c>
      <c r="G35" s="29" t="s">
        <v>82</v>
      </c>
      <c r="H35" s="1">
        <v>1</v>
      </c>
      <c r="I35" s="9">
        <v>0</v>
      </c>
      <c r="J35" s="9">
        <v>1</v>
      </c>
      <c r="K35" s="9">
        <v>1</v>
      </c>
      <c r="L35" s="9">
        <v>20</v>
      </c>
      <c r="M35" s="9">
        <v>0</v>
      </c>
      <c r="N35" s="9">
        <v>0</v>
      </c>
      <c r="O35" s="9">
        <v>0</v>
      </c>
      <c r="P35" s="5">
        <f>SUM($H35:$O35)</f>
        <v>23</v>
      </c>
    </row>
    <row r="36" spans="1:17" x14ac:dyDescent="0.2">
      <c r="A36" s="6" t="s">
        <v>68</v>
      </c>
      <c r="B36" s="7" t="s">
        <v>120</v>
      </c>
      <c r="C36" s="8">
        <v>1026908</v>
      </c>
      <c r="D36" s="27">
        <v>2549</v>
      </c>
      <c r="E36" s="29" t="s">
        <v>82</v>
      </c>
      <c r="F36" s="28" t="s">
        <v>84</v>
      </c>
      <c r="G36" s="29" t="s">
        <v>82</v>
      </c>
      <c r="H36" s="9">
        <v>4</v>
      </c>
      <c r="I36" s="9">
        <v>0</v>
      </c>
      <c r="J36" s="9">
        <v>0</v>
      </c>
      <c r="K36" s="9">
        <v>1</v>
      </c>
      <c r="L36" s="9">
        <v>29</v>
      </c>
      <c r="M36" s="9">
        <v>0</v>
      </c>
      <c r="N36" s="9">
        <v>11</v>
      </c>
      <c r="O36" s="9" t="s">
        <v>82</v>
      </c>
      <c r="P36" s="5">
        <f>SUM($H36:$O36)</f>
        <v>45</v>
      </c>
    </row>
    <row r="37" spans="1:17" hidden="1" x14ac:dyDescent="0.2">
      <c r="A37" s="13" t="s">
        <v>25</v>
      </c>
      <c r="B37" s="7" t="s">
        <v>25</v>
      </c>
      <c r="C37" s="8">
        <v>104806</v>
      </c>
      <c r="D37" s="27">
        <v>780</v>
      </c>
      <c r="E37" s="30" t="s">
        <v>84</v>
      </c>
      <c r="F37" s="30" t="s">
        <v>84</v>
      </c>
      <c r="G37" s="30" t="s">
        <v>84</v>
      </c>
      <c r="H37" s="11">
        <v>0</v>
      </c>
      <c r="I37" s="11">
        <v>0</v>
      </c>
      <c r="J37" s="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5">
        <f>SUM($H37:$O37)</f>
        <v>0</v>
      </c>
    </row>
    <row r="38" spans="1:17" x14ac:dyDescent="0.2">
      <c r="A38" s="6" t="s">
        <v>67</v>
      </c>
      <c r="B38" s="7" t="s">
        <v>132</v>
      </c>
      <c r="C38" s="8">
        <v>215259</v>
      </c>
      <c r="D38" s="27">
        <v>981</v>
      </c>
      <c r="E38" s="28" t="s">
        <v>84</v>
      </c>
      <c r="F38" s="28" t="s">
        <v>84</v>
      </c>
      <c r="G38" s="29" t="s">
        <v>84</v>
      </c>
      <c r="H38" s="1">
        <v>0</v>
      </c>
      <c r="I38" s="9">
        <v>1</v>
      </c>
      <c r="J38" s="9">
        <v>1</v>
      </c>
      <c r="K38" s="9">
        <v>0</v>
      </c>
      <c r="L38" s="9">
        <v>1</v>
      </c>
      <c r="M38" s="9">
        <v>0</v>
      </c>
      <c r="N38" s="9">
        <v>1</v>
      </c>
      <c r="O38" s="9">
        <v>0</v>
      </c>
      <c r="P38" s="5">
        <f>SUM($H38:$O38)</f>
        <v>4</v>
      </c>
    </row>
    <row r="39" spans="1:17" hidden="1" x14ac:dyDescent="0.2">
      <c r="A39" s="10" t="s">
        <v>18</v>
      </c>
      <c r="B39" s="7" t="s">
        <v>131</v>
      </c>
      <c r="C39" s="8">
        <v>143428</v>
      </c>
      <c r="D39" s="27">
        <v>959</v>
      </c>
      <c r="E39" s="29" t="s">
        <v>82</v>
      </c>
      <c r="F39" s="29" t="s">
        <v>82</v>
      </c>
      <c r="G39" s="29" t="s">
        <v>82</v>
      </c>
      <c r="H39" s="9">
        <v>1</v>
      </c>
      <c r="I39" s="9">
        <v>0</v>
      </c>
      <c r="J39" s="9">
        <v>1</v>
      </c>
      <c r="K39" s="9">
        <v>0</v>
      </c>
      <c r="L39" s="9">
        <v>1</v>
      </c>
      <c r="M39" s="36">
        <v>3</v>
      </c>
      <c r="N39" s="9">
        <v>0</v>
      </c>
      <c r="O39" s="9">
        <v>0</v>
      </c>
      <c r="P39" s="5">
        <f>SUM($H39:$O39)</f>
        <v>6</v>
      </c>
    </row>
    <row r="40" spans="1:17" x14ac:dyDescent="0.2">
      <c r="A40" s="6" t="s">
        <v>43</v>
      </c>
      <c r="B40" s="7" t="s">
        <v>103</v>
      </c>
      <c r="C40" s="8">
        <v>344082</v>
      </c>
      <c r="D40" s="27">
        <v>763</v>
      </c>
      <c r="E40" s="30" t="s">
        <v>84</v>
      </c>
      <c r="F40" s="30" t="s">
        <v>84</v>
      </c>
      <c r="G40" s="30" t="s">
        <v>84</v>
      </c>
      <c r="H40" s="11">
        <v>0</v>
      </c>
      <c r="I40" s="11">
        <v>0</v>
      </c>
      <c r="J40" s="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5">
        <f>SUM($H40:$O40)</f>
        <v>0</v>
      </c>
    </row>
    <row r="41" spans="1:17" hidden="1" x14ac:dyDescent="0.2">
      <c r="A41" s="10" t="s">
        <v>19</v>
      </c>
      <c r="B41" s="7" t="s">
        <v>126</v>
      </c>
      <c r="C41" s="8">
        <v>2035762</v>
      </c>
      <c r="D41" s="27">
        <v>709</v>
      </c>
      <c r="E41" s="28" t="s">
        <v>84</v>
      </c>
      <c r="F41" s="28" t="s">
        <v>84</v>
      </c>
      <c r="G41" s="29" t="s">
        <v>82</v>
      </c>
      <c r="H41" s="1">
        <v>1</v>
      </c>
      <c r="I41" s="9">
        <v>1</v>
      </c>
      <c r="J41" s="9">
        <v>2</v>
      </c>
      <c r="K41" s="9">
        <v>1</v>
      </c>
      <c r="L41" s="9">
        <v>6</v>
      </c>
      <c r="M41" s="9">
        <v>0</v>
      </c>
      <c r="N41" s="9">
        <v>4</v>
      </c>
      <c r="O41" s="9" t="s">
        <v>82</v>
      </c>
      <c r="P41" s="5">
        <f>SUM($H41:$O41)</f>
        <v>15</v>
      </c>
      <c r="Q41" s="5" t="s">
        <v>154</v>
      </c>
    </row>
    <row r="42" spans="1:17" x14ac:dyDescent="0.2">
      <c r="A42" s="6" t="s">
        <v>47</v>
      </c>
      <c r="B42" s="7" t="s">
        <v>47</v>
      </c>
      <c r="C42" s="8">
        <v>412994</v>
      </c>
      <c r="D42" s="27">
        <v>335</v>
      </c>
      <c r="E42" s="30" t="s">
        <v>84</v>
      </c>
      <c r="F42" s="30" t="s">
        <v>84</v>
      </c>
      <c r="G42" s="30" t="s">
        <v>84</v>
      </c>
      <c r="H42" s="11">
        <v>0</v>
      </c>
      <c r="I42" s="11">
        <v>0</v>
      </c>
      <c r="J42" s="1">
        <v>0</v>
      </c>
      <c r="K42" s="11">
        <v>0</v>
      </c>
      <c r="L42" s="11">
        <v>0</v>
      </c>
      <c r="M42" s="23">
        <v>0</v>
      </c>
      <c r="N42" s="11">
        <v>0</v>
      </c>
      <c r="O42" s="11">
        <v>0</v>
      </c>
      <c r="P42" s="5">
        <f>SUM($H42:$O42)</f>
        <v>0</v>
      </c>
      <c r="Q42" s="37"/>
    </row>
    <row r="43" spans="1:17" x14ac:dyDescent="0.2">
      <c r="A43" s="6" t="s">
        <v>57</v>
      </c>
      <c r="B43" s="7" t="s">
        <v>107</v>
      </c>
      <c r="C43" s="8">
        <v>13149803</v>
      </c>
      <c r="D43" s="27">
        <v>109</v>
      </c>
      <c r="E43" s="30" t="s">
        <v>84</v>
      </c>
      <c r="F43" s="30" t="s">
        <v>84</v>
      </c>
      <c r="G43" s="30" t="s">
        <v>84</v>
      </c>
      <c r="H43" s="11">
        <v>0</v>
      </c>
      <c r="I43" s="11">
        <v>0</v>
      </c>
      <c r="J43" s="1">
        <v>0</v>
      </c>
      <c r="K43" s="11">
        <v>0</v>
      </c>
      <c r="L43" s="11">
        <v>0</v>
      </c>
      <c r="M43" s="23">
        <v>0</v>
      </c>
      <c r="N43" s="11">
        <v>0</v>
      </c>
      <c r="O43" s="23">
        <v>0</v>
      </c>
      <c r="P43" s="5">
        <f>SUM($H43:$O43)</f>
        <v>0</v>
      </c>
    </row>
    <row r="44" spans="1:17" hidden="1" x14ac:dyDescent="0.2">
      <c r="A44" s="13" t="s">
        <v>30</v>
      </c>
      <c r="B44" s="7" t="s">
        <v>94</v>
      </c>
      <c r="C44" s="8">
        <v>1138654</v>
      </c>
      <c r="D44" s="27">
        <v>741</v>
      </c>
      <c r="E44" s="30" t="s">
        <v>84</v>
      </c>
      <c r="F44" s="30" t="s">
        <v>84</v>
      </c>
      <c r="G44" s="30" t="s">
        <v>84</v>
      </c>
      <c r="H44" s="11">
        <v>0</v>
      </c>
      <c r="I44" s="11">
        <v>0</v>
      </c>
      <c r="J44" s="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5">
        <f>SUM($H44:$O44)</f>
        <v>0</v>
      </c>
    </row>
    <row r="45" spans="1:17" x14ac:dyDescent="0.2">
      <c r="A45" s="6" t="s">
        <v>60</v>
      </c>
      <c r="B45" s="7" t="s">
        <v>108</v>
      </c>
      <c r="C45" s="8">
        <v>256268</v>
      </c>
      <c r="D45" s="27">
        <v>1029</v>
      </c>
      <c r="E45" s="30" t="s">
        <v>84</v>
      </c>
      <c r="F45" s="30" t="s">
        <v>84</v>
      </c>
      <c r="G45" s="30" t="s">
        <v>84</v>
      </c>
      <c r="H45" s="11">
        <v>0</v>
      </c>
      <c r="I45" s="11">
        <v>0</v>
      </c>
      <c r="J45" s="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5">
        <f>SUM($H45:$O45)</f>
        <v>0</v>
      </c>
    </row>
    <row r="46" spans="1:17" x14ac:dyDescent="0.2">
      <c r="A46" s="6" t="s">
        <v>39</v>
      </c>
      <c r="B46" s="7" t="s">
        <v>99</v>
      </c>
      <c r="C46" s="8">
        <v>245756</v>
      </c>
      <c r="D46" s="27">
        <v>348</v>
      </c>
      <c r="E46" s="30" t="s">
        <v>84</v>
      </c>
      <c r="F46" s="30" t="s">
        <v>84</v>
      </c>
      <c r="G46" s="30" t="s">
        <v>84</v>
      </c>
      <c r="H46" s="11">
        <v>0</v>
      </c>
      <c r="I46" s="11">
        <v>0</v>
      </c>
      <c r="J46" s="1">
        <v>0</v>
      </c>
      <c r="K46" s="11">
        <v>0</v>
      </c>
      <c r="L46" s="11">
        <v>0</v>
      </c>
      <c r="M46" s="23">
        <v>0</v>
      </c>
      <c r="N46" s="11">
        <v>0</v>
      </c>
      <c r="O46" s="11">
        <v>0</v>
      </c>
      <c r="P46" s="5">
        <f>SUM($H46:$O46)</f>
        <v>0</v>
      </c>
    </row>
    <row r="47" spans="1:17" x14ac:dyDescent="0.2">
      <c r="A47" s="6" t="s">
        <v>53</v>
      </c>
      <c r="B47" s="7" t="s">
        <v>105</v>
      </c>
      <c r="C47" s="8">
        <v>113897</v>
      </c>
      <c r="D47" s="27">
        <v>1197</v>
      </c>
      <c r="E47" s="30" t="s">
        <v>84</v>
      </c>
      <c r="F47" s="30" t="s">
        <v>84</v>
      </c>
      <c r="G47" s="30" t="s">
        <v>84</v>
      </c>
      <c r="H47" s="11">
        <v>0</v>
      </c>
      <c r="I47" s="11">
        <v>0</v>
      </c>
      <c r="J47" s="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5">
        <f>SUM($H47:$O47)</f>
        <v>0</v>
      </c>
      <c r="Q47" s="5" t="s">
        <v>148</v>
      </c>
    </row>
    <row r="48" spans="1:17" x14ac:dyDescent="0.2">
      <c r="A48" s="6" t="s">
        <v>61</v>
      </c>
      <c r="B48" s="7" t="s">
        <v>109</v>
      </c>
      <c r="C48" s="8">
        <v>328482</v>
      </c>
      <c r="D48" s="27">
        <v>353</v>
      </c>
      <c r="E48" s="28" t="s">
        <v>82</v>
      </c>
      <c r="F48" s="28" t="s">
        <v>84</v>
      </c>
      <c r="G48" s="28" t="s">
        <v>84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23">
        <v>0</v>
      </c>
      <c r="N48" s="1">
        <v>0</v>
      </c>
      <c r="O48" s="11">
        <v>0</v>
      </c>
      <c r="P48" s="5">
        <f>SUM($H48:$O48)</f>
        <v>0</v>
      </c>
    </row>
    <row r="49" spans="1:16" hidden="1" x14ac:dyDescent="0.2">
      <c r="A49" s="14" t="s">
        <v>6</v>
      </c>
      <c r="B49" s="7" t="s">
        <v>90</v>
      </c>
      <c r="C49" s="8">
        <v>544383</v>
      </c>
      <c r="D49" s="27">
        <v>1807</v>
      </c>
      <c r="E49" s="28" t="s">
        <v>84</v>
      </c>
      <c r="F49" s="28" t="s">
        <v>82</v>
      </c>
      <c r="G49" s="28" t="s">
        <v>84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1">
        <v>0</v>
      </c>
      <c r="N49" s="1">
        <v>0</v>
      </c>
      <c r="O49" s="11">
        <v>0</v>
      </c>
      <c r="P49" s="5">
        <f>SUM($H49:$O49)</f>
        <v>0</v>
      </c>
    </row>
    <row r="50" spans="1:16" hidden="1" x14ac:dyDescent="0.2">
      <c r="A50" s="13" t="s">
        <v>28</v>
      </c>
      <c r="B50" s="7" t="s">
        <v>28</v>
      </c>
      <c r="C50" s="8">
        <v>329673</v>
      </c>
      <c r="D50" s="27">
        <v>489</v>
      </c>
      <c r="E50" s="28" t="s">
        <v>84</v>
      </c>
      <c r="F50" s="28" t="s">
        <v>84</v>
      </c>
      <c r="G50" s="29" t="s">
        <v>82</v>
      </c>
      <c r="H50" s="9">
        <v>8</v>
      </c>
      <c r="I50" s="9">
        <v>3</v>
      </c>
      <c r="J50" s="1">
        <v>0</v>
      </c>
      <c r="K50" s="1">
        <v>0</v>
      </c>
      <c r="L50" s="9">
        <v>4</v>
      </c>
      <c r="M50" s="23">
        <v>0</v>
      </c>
      <c r="N50" s="9">
        <v>3</v>
      </c>
      <c r="O50" s="9">
        <v>0</v>
      </c>
      <c r="P50" s="5">
        <f>SUM($H50:$O50)</f>
        <v>18</v>
      </c>
    </row>
    <row r="51" spans="1:16" hidden="1" x14ac:dyDescent="0.2">
      <c r="A51" s="13" t="s">
        <v>26</v>
      </c>
      <c r="B51" s="7" t="s">
        <v>93</v>
      </c>
      <c r="C51" s="8">
        <v>1104485</v>
      </c>
      <c r="D51" s="27">
        <v>1420</v>
      </c>
      <c r="E51" s="30" t="s">
        <v>84</v>
      </c>
      <c r="F51" s="30" t="s">
        <v>84</v>
      </c>
      <c r="G51" s="30" t="s">
        <v>84</v>
      </c>
      <c r="H51" s="11">
        <v>0</v>
      </c>
      <c r="I51" s="11">
        <v>0</v>
      </c>
      <c r="J51" s="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5">
        <f>SUM($H51:$O51)</f>
        <v>0</v>
      </c>
    </row>
    <row r="52" spans="1:16" x14ac:dyDescent="0.2">
      <c r="A52" s="6" t="s">
        <v>41</v>
      </c>
      <c r="B52" s="7" t="s">
        <v>101</v>
      </c>
      <c r="C52" s="8">
        <v>72269</v>
      </c>
      <c r="D52" s="27">
        <v>1575</v>
      </c>
      <c r="E52" s="30" t="s">
        <v>84</v>
      </c>
      <c r="F52" s="30" t="s">
        <v>84</v>
      </c>
      <c r="G52" s="30" t="s">
        <v>84</v>
      </c>
      <c r="H52" s="11">
        <v>0</v>
      </c>
      <c r="I52" s="11">
        <v>0</v>
      </c>
      <c r="J52" s="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5">
        <f>SUM($H52:$O52)</f>
        <v>0</v>
      </c>
    </row>
    <row r="53" spans="1:16" x14ac:dyDescent="0.2">
      <c r="A53" s="6" t="s">
        <v>34</v>
      </c>
      <c r="B53" s="7" t="s">
        <v>97</v>
      </c>
      <c r="C53" s="8">
        <v>159252</v>
      </c>
      <c r="D53" s="27">
        <v>288</v>
      </c>
      <c r="E53" s="30" t="s">
        <v>84</v>
      </c>
      <c r="F53" s="30" t="s">
        <v>84</v>
      </c>
      <c r="G53" s="30" t="s">
        <v>84</v>
      </c>
      <c r="H53" s="11">
        <v>0</v>
      </c>
      <c r="I53" s="11">
        <v>0</v>
      </c>
      <c r="J53" s="1">
        <v>0</v>
      </c>
      <c r="K53" s="11">
        <v>0</v>
      </c>
      <c r="L53" s="11">
        <v>0</v>
      </c>
      <c r="M53" s="23">
        <v>0</v>
      </c>
      <c r="N53" s="11">
        <v>0</v>
      </c>
      <c r="O53" s="11">
        <v>0</v>
      </c>
      <c r="P53" s="5">
        <f>SUM($H53:$O53)</f>
        <v>0</v>
      </c>
    </row>
    <row r="54" spans="1:16" x14ac:dyDescent="0.2">
      <c r="A54" s="6" t="s">
        <v>62</v>
      </c>
      <c r="B54" s="7" t="s">
        <v>110</v>
      </c>
      <c r="C54" s="8">
        <v>292406</v>
      </c>
      <c r="D54" s="27">
        <v>2982</v>
      </c>
      <c r="E54" s="30" t="s">
        <v>84</v>
      </c>
      <c r="F54" s="30" t="s">
        <v>84</v>
      </c>
      <c r="G54" s="30" t="s">
        <v>84</v>
      </c>
      <c r="H54" s="11">
        <v>0</v>
      </c>
      <c r="I54" s="11">
        <v>0</v>
      </c>
      <c r="J54" s="1">
        <v>0</v>
      </c>
      <c r="K54" s="1">
        <v>0</v>
      </c>
      <c r="L54" s="11">
        <v>0</v>
      </c>
      <c r="M54" s="11">
        <v>0</v>
      </c>
      <c r="N54" s="11">
        <v>0</v>
      </c>
      <c r="O54" s="1">
        <v>0</v>
      </c>
      <c r="P54" s="5">
        <f>SUM($H54:$O54)</f>
        <v>0</v>
      </c>
    </row>
    <row r="55" spans="1:16" x14ac:dyDescent="0.2">
      <c r="A55" s="6" t="s">
        <v>65</v>
      </c>
      <c r="B55" s="7" t="s">
        <v>111</v>
      </c>
      <c r="C55" s="8">
        <v>79410</v>
      </c>
      <c r="D55" s="27">
        <v>220</v>
      </c>
      <c r="E55" s="30" t="s">
        <v>84</v>
      </c>
      <c r="F55" s="30" t="s">
        <v>84</v>
      </c>
      <c r="G55" s="30" t="s">
        <v>84</v>
      </c>
      <c r="H55" s="11">
        <v>0</v>
      </c>
      <c r="I55" s="11">
        <v>0</v>
      </c>
      <c r="J55" s="1">
        <v>0</v>
      </c>
      <c r="K55" s="11">
        <v>0</v>
      </c>
      <c r="L55" s="11">
        <v>0</v>
      </c>
      <c r="M55" s="23">
        <v>0</v>
      </c>
      <c r="N55" s="11">
        <v>0</v>
      </c>
      <c r="O55" s="23">
        <v>0</v>
      </c>
      <c r="P55" s="5">
        <f>SUM($H55:$O55)</f>
        <v>0</v>
      </c>
    </row>
    <row r="56" spans="1:16" hidden="1" x14ac:dyDescent="0.2">
      <c r="A56" s="14" t="s">
        <v>73</v>
      </c>
      <c r="B56" s="7" t="s">
        <v>134</v>
      </c>
      <c r="C56" s="8">
        <v>1205473</v>
      </c>
      <c r="D56" s="27">
        <f>3641+164</f>
        <v>3805</v>
      </c>
      <c r="E56" s="28" t="s">
        <v>84</v>
      </c>
      <c r="F56" s="29" t="s">
        <v>82</v>
      </c>
      <c r="G56" s="29" t="s">
        <v>82</v>
      </c>
      <c r="H56" s="9">
        <v>2</v>
      </c>
      <c r="I56" s="9">
        <v>1</v>
      </c>
      <c r="J56" s="1">
        <v>0</v>
      </c>
      <c r="K56" s="1">
        <v>0</v>
      </c>
      <c r="L56" s="9">
        <v>26</v>
      </c>
      <c r="M56" s="9">
        <v>7</v>
      </c>
      <c r="N56" s="9">
        <v>5</v>
      </c>
      <c r="O56" s="9">
        <v>0</v>
      </c>
      <c r="P56" s="5">
        <f>SUM($H56:$O56)</f>
        <v>41</v>
      </c>
    </row>
    <row r="57" spans="1:16" x14ac:dyDescent="0.2">
      <c r="A57" s="6" t="s">
        <v>36</v>
      </c>
      <c r="B57" s="7" t="s">
        <v>130</v>
      </c>
      <c r="C57" s="8">
        <v>112782</v>
      </c>
      <c r="D57" s="27">
        <v>588</v>
      </c>
      <c r="E57" s="28" t="s">
        <v>84</v>
      </c>
      <c r="F57" s="28" t="s">
        <v>84</v>
      </c>
      <c r="G57" s="28" t="s">
        <v>84</v>
      </c>
      <c r="H57" s="9">
        <v>1</v>
      </c>
      <c r="I57" s="9">
        <v>1</v>
      </c>
      <c r="J57" s="9">
        <v>2</v>
      </c>
      <c r="K57" s="9">
        <v>0</v>
      </c>
      <c r="L57" s="9">
        <v>3</v>
      </c>
      <c r="M57" s="11">
        <v>0</v>
      </c>
      <c r="N57" s="1">
        <v>1</v>
      </c>
      <c r="O57" s="1">
        <v>0</v>
      </c>
      <c r="P57" s="5">
        <f>SUM($H57:$O57)</f>
        <v>8</v>
      </c>
    </row>
    <row r="58" spans="1:16" x14ac:dyDescent="0.2">
      <c r="A58" s="6" t="s">
        <v>46</v>
      </c>
      <c r="B58" s="7" t="s">
        <v>104</v>
      </c>
      <c r="C58" s="8">
        <v>85442</v>
      </c>
      <c r="D58" s="27">
        <v>397</v>
      </c>
      <c r="E58" s="30" t="s">
        <v>84</v>
      </c>
      <c r="F58" s="30" t="s">
        <v>84</v>
      </c>
      <c r="G58" s="30" t="s">
        <v>84</v>
      </c>
      <c r="H58" s="11">
        <v>0</v>
      </c>
      <c r="I58" s="11">
        <v>0</v>
      </c>
      <c r="J58" s="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5">
        <f>SUM($H58:$O58)</f>
        <v>0</v>
      </c>
    </row>
    <row r="59" spans="1:16" x14ac:dyDescent="0.2">
      <c r="A59" s="6" t="s">
        <v>40</v>
      </c>
      <c r="B59" s="7" t="s">
        <v>100</v>
      </c>
      <c r="C59" s="8">
        <v>622091</v>
      </c>
      <c r="D59" s="27">
        <v>134</v>
      </c>
      <c r="E59" s="30" t="s">
        <v>84</v>
      </c>
      <c r="F59" s="30" t="s">
        <v>84</v>
      </c>
      <c r="G59" s="30" t="s">
        <v>84</v>
      </c>
      <c r="H59" s="11">
        <v>0</v>
      </c>
      <c r="I59" s="11">
        <v>0</v>
      </c>
      <c r="J59" s="1">
        <v>0</v>
      </c>
      <c r="K59" s="11">
        <v>0</v>
      </c>
      <c r="L59" s="11">
        <v>0</v>
      </c>
      <c r="M59" s="23">
        <v>0</v>
      </c>
      <c r="N59" s="11">
        <v>0</v>
      </c>
      <c r="O59" s="23">
        <v>0</v>
      </c>
      <c r="P59" s="5">
        <f>SUM($H59:$O59)</f>
        <v>0</v>
      </c>
    </row>
    <row r="60" spans="1:16" hidden="1" x14ac:dyDescent="0.2">
      <c r="A60" s="10" t="s">
        <v>22</v>
      </c>
      <c r="B60" s="7" t="s">
        <v>135</v>
      </c>
      <c r="C60" s="8">
        <v>475464</v>
      </c>
      <c r="D60" s="27">
        <v>1160</v>
      </c>
      <c r="E60" s="28" t="s">
        <v>84</v>
      </c>
      <c r="F60" s="28" t="s">
        <v>84</v>
      </c>
      <c r="G60" s="29" t="s">
        <v>82</v>
      </c>
      <c r="H60" s="9">
        <v>1</v>
      </c>
      <c r="I60" s="9">
        <v>1</v>
      </c>
      <c r="J60" s="1">
        <v>0</v>
      </c>
      <c r="K60" s="1">
        <v>0</v>
      </c>
      <c r="L60" s="9">
        <v>2</v>
      </c>
      <c r="M60" s="9">
        <v>0</v>
      </c>
      <c r="N60" s="9">
        <v>1</v>
      </c>
      <c r="O60" s="9" t="s">
        <v>82</v>
      </c>
      <c r="P60" s="5">
        <f>SUM($H60:$O60)</f>
        <v>5</v>
      </c>
    </row>
    <row r="61" spans="1:16" x14ac:dyDescent="0.2">
      <c r="A61" s="6" t="s">
        <v>33</v>
      </c>
      <c r="B61" s="7" t="s">
        <v>96</v>
      </c>
      <c r="C61" s="8">
        <v>1401</v>
      </c>
      <c r="D61" s="27">
        <v>288</v>
      </c>
      <c r="E61" s="30" t="s">
        <v>84</v>
      </c>
      <c r="F61" s="30" t="s">
        <v>84</v>
      </c>
      <c r="G61" s="30" t="s">
        <v>84</v>
      </c>
      <c r="H61" s="11">
        <v>0</v>
      </c>
      <c r="I61" s="11">
        <v>0</v>
      </c>
      <c r="J61" s="1">
        <v>0</v>
      </c>
      <c r="K61" s="11">
        <v>0</v>
      </c>
      <c r="L61" s="11">
        <v>0</v>
      </c>
      <c r="M61" s="23">
        <v>0</v>
      </c>
      <c r="N61" s="11">
        <v>0</v>
      </c>
      <c r="O61" s="1">
        <v>0</v>
      </c>
      <c r="P61" s="5">
        <f>SUM($H61:$O61)</f>
        <v>0</v>
      </c>
    </row>
    <row r="62" spans="1:16" hidden="1" x14ac:dyDescent="0.2">
      <c r="A62" s="13" t="s">
        <v>31</v>
      </c>
      <c r="B62" s="7" t="s">
        <v>95</v>
      </c>
      <c r="C62" s="8">
        <v>591628</v>
      </c>
      <c r="D62" s="27">
        <v>699</v>
      </c>
      <c r="E62" s="30" t="s">
        <v>84</v>
      </c>
      <c r="F62" s="30" t="s">
        <v>84</v>
      </c>
      <c r="G62" s="30" t="s">
        <v>84</v>
      </c>
      <c r="H62" s="11">
        <v>0</v>
      </c>
      <c r="I62" s="11">
        <v>0</v>
      </c>
      <c r="J62" s="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5">
        <f>SUM($H62:$O62)</f>
        <v>0</v>
      </c>
    </row>
    <row r="63" spans="1:16" x14ac:dyDescent="0.2">
      <c r="A63" s="6" t="s">
        <v>70</v>
      </c>
      <c r="B63" s="7" t="s">
        <v>113</v>
      </c>
      <c r="C63" s="8">
        <v>545391</v>
      </c>
      <c r="D63" s="27">
        <v>2369</v>
      </c>
      <c r="E63" s="30" t="s">
        <v>84</v>
      </c>
      <c r="F63" s="30" t="s">
        <v>84</v>
      </c>
      <c r="G63" s="30" t="s">
        <v>84</v>
      </c>
      <c r="H63" s="11">
        <v>0</v>
      </c>
      <c r="I63" s="11">
        <v>0</v>
      </c>
      <c r="J63" s="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5">
        <f>SUM($H63:$O63)</f>
        <v>0</v>
      </c>
    </row>
    <row r="64" spans="1:16" x14ac:dyDescent="0.2">
      <c r="A64" s="6" t="s">
        <v>55</v>
      </c>
      <c r="B64" s="7" t="s">
        <v>106</v>
      </c>
      <c r="C64" s="8">
        <v>488299</v>
      </c>
      <c r="D64" s="27">
        <v>203</v>
      </c>
      <c r="E64" s="30" t="s">
        <v>84</v>
      </c>
      <c r="F64" s="30" t="s">
        <v>84</v>
      </c>
      <c r="G64" s="30" t="s">
        <v>84</v>
      </c>
      <c r="H64" s="11">
        <v>0</v>
      </c>
      <c r="I64" s="11">
        <v>0</v>
      </c>
      <c r="J64" s="1">
        <v>0</v>
      </c>
      <c r="K64" s="11">
        <v>0</v>
      </c>
      <c r="L64" s="11">
        <v>0</v>
      </c>
      <c r="M64" s="23">
        <v>0</v>
      </c>
      <c r="N64" s="11">
        <v>0</v>
      </c>
      <c r="O64" s="23">
        <v>0</v>
      </c>
      <c r="P64" s="5">
        <f>SUM($H64:$O64)</f>
        <v>0</v>
      </c>
    </row>
    <row r="65" spans="1:17" x14ac:dyDescent="0.2">
      <c r="A65" s="6" t="s">
        <v>38</v>
      </c>
      <c r="B65" s="7" t="s">
        <v>98</v>
      </c>
      <c r="C65" s="8">
        <v>137965</v>
      </c>
      <c r="D65" s="27">
        <v>423</v>
      </c>
      <c r="E65" s="29" t="s">
        <v>82</v>
      </c>
      <c r="F65" s="28" t="s">
        <v>84</v>
      </c>
      <c r="G65" s="28" t="s">
        <v>84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1">
        <v>0</v>
      </c>
      <c r="N65" s="1">
        <v>0</v>
      </c>
      <c r="O65" s="11">
        <v>0</v>
      </c>
      <c r="P65" s="5">
        <f>SUM($H65:$O65)</f>
        <v>0</v>
      </c>
    </row>
    <row r="66" spans="1:17" hidden="1" x14ac:dyDescent="0.2">
      <c r="A66" s="10" t="s">
        <v>20</v>
      </c>
      <c r="B66" s="7" t="s">
        <v>37</v>
      </c>
      <c r="C66" s="8">
        <v>465524</v>
      </c>
      <c r="D66" s="27">
        <v>1996</v>
      </c>
      <c r="E66" s="28" t="s">
        <v>84</v>
      </c>
      <c r="F66" s="29" t="s">
        <v>82</v>
      </c>
      <c r="G66" s="29" t="s">
        <v>82</v>
      </c>
      <c r="H66" s="9">
        <v>7</v>
      </c>
      <c r="I66" s="9">
        <v>1</v>
      </c>
      <c r="J66" s="9">
        <v>4</v>
      </c>
      <c r="K66" s="9">
        <v>4</v>
      </c>
      <c r="L66" s="9">
        <v>40</v>
      </c>
      <c r="M66" s="9">
        <v>0</v>
      </c>
      <c r="N66" s="9">
        <v>12</v>
      </c>
      <c r="O66" s="9" t="s">
        <v>82</v>
      </c>
      <c r="P66" s="5">
        <f>SUM($H66:$O66)</f>
        <v>68</v>
      </c>
    </row>
    <row r="67" spans="1:17" hidden="1" x14ac:dyDescent="0.2">
      <c r="A67" s="14" t="s">
        <v>0</v>
      </c>
      <c r="B67" s="7" t="s">
        <v>123</v>
      </c>
      <c r="C67" s="8">
        <v>611683</v>
      </c>
      <c r="D67" s="27">
        <v>2063</v>
      </c>
      <c r="E67" s="28" t="s">
        <v>84</v>
      </c>
      <c r="F67" s="28" t="s">
        <v>84</v>
      </c>
      <c r="G67" s="28" t="s">
        <v>82</v>
      </c>
      <c r="H67" s="1">
        <v>0</v>
      </c>
      <c r="I67" s="1">
        <v>5</v>
      </c>
      <c r="J67" s="1">
        <v>2</v>
      </c>
      <c r="K67" s="1">
        <v>0</v>
      </c>
      <c r="L67" s="1">
        <v>14</v>
      </c>
      <c r="M67" s="1">
        <v>0</v>
      </c>
      <c r="N67" s="1">
        <v>12</v>
      </c>
      <c r="O67" s="1">
        <v>0</v>
      </c>
      <c r="P67" s="5">
        <f>SUM($H67:$O67)</f>
        <v>33</v>
      </c>
      <c r="Q67" s="37"/>
    </row>
    <row r="68" spans="1:17" hidden="1" x14ac:dyDescent="0.2">
      <c r="A68" s="10" t="s">
        <v>16</v>
      </c>
      <c r="B68" s="7" t="s">
        <v>107</v>
      </c>
      <c r="C68" s="8">
        <v>13149803</v>
      </c>
      <c r="D68" s="27">
        <v>217</v>
      </c>
      <c r="E68" s="28" t="s">
        <v>84</v>
      </c>
      <c r="F68" s="28" t="s">
        <v>84</v>
      </c>
      <c r="G68" s="29" t="s">
        <v>82</v>
      </c>
      <c r="H68" s="1">
        <v>0</v>
      </c>
      <c r="I68" s="1">
        <v>0</v>
      </c>
      <c r="J68" s="1">
        <v>0</v>
      </c>
      <c r="K68" s="1">
        <v>0</v>
      </c>
      <c r="L68" s="9">
        <v>1</v>
      </c>
      <c r="M68" s="1">
        <v>0</v>
      </c>
      <c r="N68" s="1">
        <v>0</v>
      </c>
      <c r="O68" s="1">
        <v>0</v>
      </c>
      <c r="P68" s="5">
        <f>SUM($H68:$O68)</f>
        <v>1</v>
      </c>
      <c r="Q68" s="5" t="s">
        <v>155</v>
      </c>
    </row>
    <row r="69" spans="1:17" x14ac:dyDescent="0.2">
      <c r="A69" s="6" t="s">
        <v>66</v>
      </c>
      <c r="B69" s="7" t="s">
        <v>112</v>
      </c>
      <c r="C69" s="8">
        <v>620419</v>
      </c>
      <c r="D69" s="27">
        <v>896</v>
      </c>
      <c r="E69" s="30" t="s">
        <v>84</v>
      </c>
      <c r="F69" s="30" t="s">
        <v>84</v>
      </c>
      <c r="G69" s="30" t="s">
        <v>84</v>
      </c>
      <c r="H69" s="11">
        <v>0</v>
      </c>
      <c r="I69" s="11">
        <v>0</v>
      </c>
      <c r="J69" s="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5">
        <f>SUM($H69:$O69)</f>
        <v>0</v>
      </c>
    </row>
    <row r="70" spans="1:17" hidden="1" x14ac:dyDescent="0.2">
      <c r="A70" s="14" t="s">
        <v>76</v>
      </c>
      <c r="B70" s="7" t="s">
        <v>122</v>
      </c>
      <c r="C70" s="8">
        <v>461692</v>
      </c>
      <c r="D70" s="27">
        <f>3203+133</f>
        <v>3336</v>
      </c>
      <c r="E70" s="28" t="s">
        <v>84</v>
      </c>
      <c r="F70" s="29" t="s">
        <v>82</v>
      </c>
      <c r="G70" s="29" t="s">
        <v>82</v>
      </c>
      <c r="H70" s="9">
        <v>9</v>
      </c>
      <c r="I70" s="9">
        <v>7</v>
      </c>
      <c r="J70" s="9">
        <v>6</v>
      </c>
      <c r="K70" s="9">
        <v>1</v>
      </c>
      <c r="L70" s="9">
        <v>14</v>
      </c>
      <c r="M70" s="9">
        <v>0</v>
      </c>
      <c r="N70" s="1">
        <v>0</v>
      </c>
      <c r="O70" s="1">
        <v>0</v>
      </c>
      <c r="P70" s="5">
        <f>SUM($H70:$O70)</f>
        <v>37</v>
      </c>
    </row>
    <row r="71" spans="1:17" x14ac:dyDescent="0.2">
      <c r="A71" s="6" t="s">
        <v>69</v>
      </c>
      <c r="B71" s="7" t="s">
        <v>89</v>
      </c>
      <c r="C71" s="8">
        <v>3060335</v>
      </c>
      <c r="D71" s="27">
        <v>560</v>
      </c>
      <c r="E71" s="28" t="s">
        <v>84</v>
      </c>
      <c r="F71" s="28" t="s">
        <v>84</v>
      </c>
      <c r="G71" s="28" t="s">
        <v>84</v>
      </c>
      <c r="H71" s="1">
        <v>0</v>
      </c>
      <c r="I71" s="11">
        <v>0</v>
      </c>
      <c r="J71" s="1">
        <v>0</v>
      </c>
      <c r="K71" s="1">
        <v>0</v>
      </c>
      <c r="L71" s="1">
        <v>0</v>
      </c>
      <c r="M71" s="11">
        <v>0</v>
      </c>
      <c r="N71" s="1">
        <v>0</v>
      </c>
      <c r="O71" s="11">
        <v>0</v>
      </c>
      <c r="P71" s="5">
        <f>SUM($H71:$O71)</f>
        <v>0</v>
      </c>
      <c r="Q71" s="37"/>
    </row>
    <row r="72" spans="1:17" x14ac:dyDescent="0.2">
      <c r="A72" s="6" t="s">
        <v>42</v>
      </c>
      <c r="B72" s="7" t="s">
        <v>102</v>
      </c>
      <c r="C72" s="8">
        <v>126292</v>
      </c>
      <c r="D72" s="27">
        <v>198</v>
      </c>
      <c r="E72" s="30" t="s">
        <v>84</v>
      </c>
      <c r="F72" s="30" t="s">
        <v>84</v>
      </c>
      <c r="G72" s="30" t="s">
        <v>84</v>
      </c>
      <c r="H72" s="11">
        <v>0</v>
      </c>
      <c r="I72" s="11">
        <v>0</v>
      </c>
      <c r="J72" s="1">
        <v>0</v>
      </c>
      <c r="K72" s="11">
        <v>0</v>
      </c>
      <c r="L72" s="11">
        <v>0</v>
      </c>
      <c r="M72" s="23">
        <v>0</v>
      </c>
      <c r="N72" s="11">
        <v>0</v>
      </c>
      <c r="O72" s="23">
        <v>0</v>
      </c>
      <c r="P72" s="5">
        <f>SUM($H72:$O72)</f>
        <v>0</v>
      </c>
    </row>
    <row r="73" spans="1:17" ht="51" hidden="1" x14ac:dyDescent="0.2">
      <c r="A73" s="10" t="s">
        <v>23</v>
      </c>
      <c r="B73" s="7" t="s">
        <v>92</v>
      </c>
      <c r="C73" s="8">
        <v>292717</v>
      </c>
      <c r="D73" s="27">
        <v>475</v>
      </c>
      <c r="E73" s="30" t="s">
        <v>84</v>
      </c>
      <c r="F73" s="30" t="s">
        <v>84</v>
      </c>
      <c r="G73" s="30" t="s">
        <v>84</v>
      </c>
      <c r="H73" s="11">
        <v>0</v>
      </c>
      <c r="I73" s="11">
        <v>0</v>
      </c>
      <c r="J73" s="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5">
        <f>SUM($H73:$O73)</f>
        <v>0</v>
      </c>
    </row>
    <row r="74" spans="1:17" hidden="1" x14ac:dyDescent="0.2">
      <c r="A74" s="13" t="s">
        <v>27</v>
      </c>
      <c r="B74" s="7" t="s">
        <v>125</v>
      </c>
      <c r="C74" s="8">
        <v>436678</v>
      </c>
      <c r="D74" s="27">
        <v>97</v>
      </c>
      <c r="E74" s="28" t="s">
        <v>84</v>
      </c>
      <c r="F74" s="28" t="s">
        <v>84</v>
      </c>
      <c r="G74" s="29" t="s">
        <v>82</v>
      </c>
      <c r="H74" s="9">
        <v>1</v>
      </c>
      <c r="I74" s="9">
        <v>1</v>
      </c>
      <c r="J74" s="9">
        <v>1</v>
      </c>
      <c r="K74" s="11">
        <v>0</v>
      </c>
      <c r="L74" s="9">
        <v>17</v>
      </c>
      <c r="M74" s="23">
        <v>0</v>
      </c>
      <c r="N74" s="9">
        <v>1</v>
      </c>
      <c r="O74" s="23">
        <v>0</v>
      </c>
      <c r="P74" s="5">
        <f>SUM($H74:$O74)</f>
        <v>21</v>
      </c>
    </row>
    <row r="75" spans="1:17" x14ac:dyDescent="0.2">
      <c r="B75" s="5"/>
      <c r="C75" s="17"/>
      <c r="D75" s="32"/>
    </row>
    <row r="76" spans="1:17" x14ac:dyDescent="0.2">
      <c r="A76" s="18" t="s">
        <v>146</v>
      </c>
      <c r="B76" s="1"/>
      <c r="C76" s="19">
        <v>55548365</v>
      </c>
      <c r="D76" s="34">
        <f>SUM(D2:D74)</f>
        <v>117626</v>
      </c>
      <c r="E76" s="28"/>
      <c r="F76" s="28"/>
      <c r="G76" s="28"/>
      <c r="H76" s="1"/>
      <c r="I76" s="1"/>
      <c r="J76" s="1"/>
      <c r="K76" s="1"/>
      <c r="L76" s="1"/>
      <c r="M76" s="1"/>
      <c r="N76" s="1"/>
      <c r="O76" s="1"/>
      <c r="P76" s="18">
        <f>SUM(P2:P74)</f>
        <v>1648</v>
      </c>
    </row>
    <row r="77" spans="1:17" x14ac:dyDescent="0.2">
      <c r="A77" s="18" t="s">
        <v>147</v>
      </c>
      <c r="B77" s="1"/>
      <c r="C77" s="19">
        <f>C76/66</f>
        <v>841641.89393939392</v>
      </c>
      <c r="D77" s="34">
        <f>AVERAGE(D2:D74)</f>
        <v>1611.3150684931506</v>
      </c>
      <c r="E77" s="28"/>
      <c r="F77" s="28"/>
      <c r="G77" s="28"/>
      <c r="H77" s="1"/>
      <c r="I77" s="1"/>
      <c r="J77" s="1"/>
      <c r="K77" s="1"/>
      <c r="L77" s="1"/>
      <c r="M77" s="1"/>
      <c r="N77" s="1"/>
      <c r="O77" s="1"/>
      <c r="P77" s="20">
        <f>AVERAGE(P2:P74)</f>
        <v>22.575342465753426</v>
      </c>
    </row>
    <row r="78" spans="1:17" x14ac:dyDescent="0.2">
      <c r="B78" s="5"/>
      <c r="C78" s="17"/>
      <c r="D78" s="32"/>
    </row>
    <row r="79" spans="1:17" x14ac:dyDescent="0.2">
      <c r="B79" s="5"/>
      <c r="C79" s="17"/>
      <c r="D79" s="32"/>
      <c r="P79" s="5">
        <f ca="1">COUNTIF(P:P,)</f>
        <v>0</v>
      </c>
    </row>
    <row r="80" spans="1:17" x14ac:dyDescent="0.2">
      <c r="B80" s="5"/>
      <c r="C80" s="17"/>
      <c r="D80" s="32"/>
    </row>
    <row r="81" spans="2:4" x14ac:dyDescent="0.2">
      <c r="B81" s="5"/>
      <c r="C81" s="17"/>
      <c r="D81" s="32"/>
    </row>
    <row r="82" spans="2:4" x14ac:dyDescent="0.2">
      <c r="B82" s="5"/>
      <c r="C82" s="17"/>
      <c r="D82" s="32"/>
    </row>
    <row r="83" spans="2:4" x14ac:dyDescent="0.2">
      <c r="B83" s="5"/>
      <c r="C83" s="17"/>
      <c r="D83" s="32"/>
    </row>
    <row r="84" spans="2:4" x14ac:dyDescent="0.2">
      <c r="B84" s="5"/>
      <c r="C84" s="17"/>
      <c r="D84" s="32"/>
    </row>
    <row r="85" spans="2:4" x14ac:dyDescent="0.2">
      <c r="B85" s="5"/>
      <c r="C85" s="17"/>
      <c r="D85" s="32"/>
    </row>
    <row r="86" spans="2:4" x14ac:dyDescent="0.2">
      <c r="B86" s="5"/>
      <c r="C86" s="17"/>
      <c r="D86" s="32"/>
    </row>
    <row r="87" spans="2:4" x14ac:dyDescent="0.2">
      <c r="B87" s="5"/>
      <c r="C87" s="17"/>
      <c r="D87" s="32"/>
    </row>
    <row r="88" spans="2:4" x14ac:dyDescent="0.2">
      <c r="B88" s="5"/>
      <c r="C88" s="17"/>
      <c r="D88" s="32"/>
    </row>
    <row r="89" spans="2:4" x14ac:dyDescent="0.2">
      <c r="B89" s="5"/>
      <c r="C89" s="17"/>
      <c r="D89" s="32"/>
    </row>
    <row r="90" spans="2:4" x14ac:dyDescent="0.2">
      <c r="B90" s="5"/>
      <c r="C90" s="17"/>
      <c r="D90" s="32"/>
    </row>
    <row r="91" spans="2:4" x14ac:dyDescent="0.2">
      <c r="B91" s="5"/>
      <c r="C91" s="17"/>
      <c r="D91" s="32"/>
    </row>
    <row r="92" spans="2:4" x14ac:dyDescent="0.2">
      <c r="B92" s="5"/>
      <c r="C92" s="17"/>
      <c r="D92" s="32"/>
    </row>
    <row r="93" spans="2:4" x14ac:dyDescent="0.2">
      <c r="B93" s="5"/>
      <c r="C93" s="17"/>
      <c r="D93" s="32"/>
    </row>
    <row r="94" spans="2:4" x14ac:dyDescent="0.2">
      <c r="B94" s="5"/>
      <c r="C94" s="17"/>
      <c r="D94" s="32"/>
    </row>
    <row r="95" spans="2:4" x14ac:dyDescent="0.2">
      <c r="B95" s="5"/>
      <c r="C95" s="17"/>
      <c r="D95" s="32"/>
    </row>
    <row r="96" spans="2:4" x14ac:dyDescent="0.2">
      <c r="B96" s="5"/>
      <c r="C96" s="17"/>
      <c r="D96" s="32"/>
    </row>
    <row r="97" spans="2:4" x14ac:dyDescent="0.2">
      <c r="B97" s="5"/>
      <c r="C97" s="17"/>
      <c r="D97" s="32"/>
    </row>
    <row r="98" spans="2:4" x14ac:dyDescent="0.2">
      <c r="B98" s="5"/>
      <c r="C98" s="17"/>
      <c r="D98" s="32"/>
    </row>
    <row r="99" spans="2:4" x14ac:dyDescent="0.2">
      <c r="B99" s="5"/>
      <c r="C99" s="17"/>
      <c r="D99" s="32"/>
    </row>
    <row r="100" spans="2:4" x14ac:dyDescent="0.2">
      <c r="B100" s="5"/>
      <c r="C100" s="17"/>
      <c r="D100" s="32"/>
    </row>
    <row r="101" spans="2:4" x14ac:dyDescent="0.2">
      <c r="B101" s="5"/>
      <c r="C101" s="17"/>
      <c r="D101" s="32"/>
    </row>
    <row r="102" spans="2:4" x14ac:dyDescent="0.2">
      <c r="B102" s="5"/>
      <c r="C102" s="17"/>
      <c r="D102" s="32"/>
    </row>
    <row r="103" spans="2:4" x14ac:dyDescent="0.2">
      <c r="B103" s="5"/>
      <c r="C103" s="17"/>
      <c r="D103" s="32"/>
    </row>
    <row r="104" spans="2:4" x14ac:dyDescent="0.2">
      <c r="B104" s="5"/>
      <c r="C104" s="17"/>
      <c r="D104" s="32"/>
    </row>
    <row r="105" spans="2:4" x14ac:dyDescent="0.2">
      <c r="B105" s="5"/>
      <c r="C105" s="17"/>
      <c r="D105" s="32"/>
    </row>
    <row r="106" spans="2:4" x14ac:dyDescent="0.2">
      <c r="B106" s="5"/>
      <c r="C106" s="17"/>
      <c r="D106" s="32"/>
    </row>
    <row r="107" spans="2:4" x14ac:dyDescent="0.2">
      <c r="B107" s="5"/>
      <c r="C107" s="17"/>
      <c r="D107" s="32"/>
    </row>
    <row r="108" spans="2:4" x14ac:dyDescent="0.2">
      <c r="B108" s="5"/>
      <c r="C108" s="17"/>
      <c r="D108" s="32"/>
    </row>
    <row r="109" spans="2:4" x14ac:dyDescent="0.2">
      <c r="B109" s="5"/>
      <c r="C109" s="17"/>
      <c r="D109" s="32"/>
    </row>
    <row r="110" spans="2:4" x14ac:dyDescent="0.2">
      <c r="B110" s="5"/>
      <c r="C110" s="17"/>
      <c r="D110" s="32"/>
    </row>
    <row r="111" spans="2:4" x14ac:dyDescent="0.2">
      <c r="B111" s="5"/>
      <c r="C111" s="17"/>
      <c r="D111" s="32"/>
    </row>
    <row r="112" spans="2:4" x14ac:dyDescent="0.2">
      <c r="B112" s="5"/>
      <c r="C112" s="17"/>
      <c r="D112" s="32"/>
    </row>
    <row r="113" spans="2:4" x14ac:dyDescent="0.2">
      <c r="B113" s="5"/>
      <c r="C113" s="17"/>
      <c r="D113" s="32"/>
    </row>
    <row r="114" spans="2:4" x14ac:dyDescent="0.2">
      <c r="B114" s="5"/>
      <c r="C114" s="17"/>
      <c r="D114" s="32"/>
    </row>
    <row r="115" spans="2:4" x14ac:dyDescent="0.2">
      <c r="B115" s="5"/>
      <c r="C115" s="17"/>
      <c r="D115" s="32"/>
    </row>
    <row r="116" spans="2:4" x14ac:dyDescent="0.2">
      <c r="B116" s="5"/>
      <c r="C116" s="17"/>
      <c r="D116" s="32"/>
    </row>
    <row r="117" spans="2:4" x14ac:dyDescent="0.2">
      <c r="B117" s="5"/>
      <c r="C117" s="17"/>
      <c r="D117" s="32"/>
    </row>
    <row r="118" spans="2:4" x14ac:dyDescent="0.2">
      <c r="B118" s="5"/>
      <c r="C118" s="17"/>
      <c r="D118" s="32"/>
    </row>
    <row r="119" spans="2:4" x14ac:dyDescent="0.2">
      <c r="B119" s="5"/>
      <c r="C119" s="17"/>
      <c r="D119" s="32"/>
    </row>
    <row r="120" spans="2:4" x14ac:dyDescent="0.2">
      <c r="B120" s="5"/>
      <c r="C120" s="17"/>
      <c r="D120" s="32"/>
    </row>
    <row r="121" spans="2:4" x14ac:dyDescent="0.2">
      <c r="B121" s="5"/>
      <c r="C121" s="17"/>
      <c r="D121" s="32"/>
    </row>
    <row r="122" spans="2:4" x14ac:dyDescent="0.2">
      <c r="B122" s="5"/>
      <c r="C122" s="17"/>
      <c r="D122" s="32"/>
    </row>
    <row r="123" spans="2:4" x14ac:dyDescent="0.2">
      <c r="B123" s="5"/>
      <c r="C123" s="17"/>
      <c r="D123" s="32"/>
    </row>
    <row r="124" spans="2:4" x14ac:dyDescent="0.2">
      <c r="B124" s="5"/>
      <c r="C124" s="17"/>
      <c r="D124" s="32"/>
    </row>
    <row r="125" spans="2:4" x14ac:dyDescent="0.2">
      <c r="B125" s="5"/>
      <c r="C125" s="17"/>
      <c r="D125" s="32"/>
    </row>
    <row r="126" spans="2:4" x14ac:dyDescent="0.2">
      <c r="B126" s="5"/>
      <c r="C126" s="17"/>
      <c r="D126" s="32"/>
    </row>
    <row r="127" spans="2:4" x14ac:dyDescent="0.2">
      <c r="B127" s="5"/>
      <c r="C127" s="17"/>
      <c r="D127" s="32"/>
    </row>
    <row r="128" spans="2:4" x14ac:dyDescent="0.2">
      <c r="B128" s="5"/>
      <c r="C128" s="17"/>
      <c r="D128" s="32"/>
    </row>
    <row r="129" spans="2:4" x14ac:dyDescent="0.2">
      <c r="B129" s="5"/>
      <c r="C129" s="17"/>
      <c r="D129" s="32"/>
    </row>
    <row r="130" spans="2:4" x14ac:dyDescent="0.2">
      <c r="B130" s="5"/>
      <c r="C130" s="17"/>
      <c r="D130" s="32"/>
    </row>
    <row r="131" spans="2:4" x14ac:dyDescent="0.2">
      <c r="B131" s="5"/>
      <c r="C131" s="17"/>
      <c r="D131" s="32"/>
    </row>
    <row r="132" spans="2:4" x14ac:dyDescent="0.2">
      <c r="B132" s="5"/>
      <c r="C132" s="17"/>
      <c r="D132" s="32"/>
    </row>
    <row r="133" spans="2:4" x14ac:dyDescent="0.2">
      <c r="B133" s="5"/>
      <c r="C133" s="17"/>
      <c r="D133" s="32"/>
    </row>
    <row r="134" spans="2:4" x14ac:dyDescent="0.2">
      <c r="B134" s="5"/>
      <c r="C134" s="17"/>
      <c r="D134" s="32"/>
    </row>
    <row r="135" spans="2:4" x14ac:dyDescent="0.2">
      <c r="B135" s="5"/>
      <c r="C135" s="17"/>
      <c r="D135" s="32"/>
    </row>
    <row r="136" spans="2:4" x14ac:dyDescent="0.2">
      <c r="B136" s="5"/>
      <c r="C136" s="17"/>
      <c r="D136" s="32"/>
    </row>
    <row r="137" spans="2:4" x14ac:dyDescent="0.2">
      <c r="B137" s="5"/>
      <c r="C137" s="17"/>
      <c r="D137" s="32"/>
    </row>
    <row r="138" spans="2:4" x14ac:dyDescent="0.2">
      <c r="B138" s="5"/>
      <c r="C138" s="17"/>
      <c r="D138" s="32"/>
    </row>
    <row r="139" spans="2:4" x14ac:dyDescent="0.2">
      <c r="B139" s="5"/>
      <c r="C139" s="17"/>
      <c r="D139" s="32"/>
    </row>
    <row r="140" spans="2:4" x14ac:dyDescent="0.2">
      <c r="B140" s="5"/>
      <c r="C140" s="17"/>
      <c r="D140" s="32"/>
    </row>
    <row r="141" spans="2:4" x14ac:dyDescent="0.2">
      <c r="B141" s="5"/>
      <c r="C141" s="17"/>
      <c r="D141" s="32"/>
    </row>
    <row r="142" spans="2:4" x14ac:dyDescent="0.2">
      <c r="B142" s="5"/>
      <c r="C142" s="17"/>
      <c r="D142" s="32"/>
    </row>
    <row r="143" spans="2:4" x14ac:dyDescent="0.2">
      <c r="B143" s="5"/>
      <c r="C143" s="17"/>
      <c r="D143" s="32"/>
    </row>
    <row r="144" spans="2:4" x14ac:dyDescent="0.2">
      <c r="B144" s="5"/>
      <c r="C144" s="17"/>
      <c r="D144" s="32"/>
    </row>
    <row r="145" spans="2:4" x14ac:dyDescent="0.2">
      <c r="B145" s="5"/>
      <c r="C145" s="17"/>
      <c r="D145" s="32"/>
    </row>
    <row r="146" spans="2:4" x14ac:dyDescent="0.2">
      <c r="B146" s="5"/>
      <c r="C146" s="17"/>
      <c r="D146" s="32"/>
    </row>
    <row r="147" spans="2:4" x14ac:dyDescent="0.2">
      <c r="B147" s="5"/>
      <c r="C147" s="17"/>
      <c r="D147" s="32"/>
    </row>
    <row r="148" spans="2:4" x14ac:dyDescent="0.2">
      <c r="B148" s="5"/>
      <c r="C148" s="17"/>
      <c r="D148" s="32"/>
    </row>
    <row r="149" spans="2:4" x14ac:dyDescent="0.2">
      <c r="B149" s="5"/>
      <c r="C149" s="17"/>
      <c r="D149" s="32"/>
    </row>
    <row r="150" spans="2:4" x14ac:dyDescent="0.2">
      <c r="B150" s="5"/>
      <c r="C150" s="17"/>
      <c r="D150" s="32"/>
    </row>
    <row r="151" spans="2:4" x14ac:dyDescent="0.2">
      <c r="B151" s="5"/>
      <c r="C151" s="17"/>
      <c r="D151" s="32"/>
    </row>
    <row r="152" spans="2:4" x14ac:dyDescent="0.2">
      <c r="B152" s="5"/>
      <c r="C152" s="17"/>
      <c r="D152" s="32"/>
    </row>
    <row r="153" spans="2:4" x14ac:dyDescent="0.2">
      <c r="B153" s="5"/>
      <c r="C153" s="17"/>
      <c r="D153" s="32"/>
    </row>
    <row r="154" spans="2:4" x14ac:dyDescent="0.2">
      <c r="B154" s="5"/>
      <c r="C154" s="17"/>
      <c r="D154" s="32"/>
    </row>
    <row r="155" spans="2:4" x14ac:dyDescent="0.2">
      <c r="B155" s="5"/>
      <c r="C155" s="17"/>
      <c r="D155" s="32"/>
    </row>
    <row r="156" spans="2:4" x14ac:dyDescent="0.2">
      <c r="B156" s="5"/>
      <c r="C156" s="17"/>
      <c r="D156" s="32"/>
    </row>
    <row r="157" spans="2:4" x14ac:dyDescent="0.2">
      <c r="B157" s="5"/>
      <c r="C157" s="17"/>
      <c r="D157" s="32"/>
    </row>
    <row r="158" spans="2:4" x14ac:dyDescent="0.2">
      <c r="B158" s="5"/>
      <c r="C158" s="17"/>
      <c r="D158" s="32"/>
    </row>
    <row r="159" spans="2:4" x14ac:dyDescent="0.2">
      <c r="B159" s="5"/>
      <c r="C159" s="17"/>
      <c r="D159" s="32"/>
    </row>
    <row r="160" spans="2:4" x14ac:dyDescent="0.2">
      <c r="B160" s="5"/>
      <c r="C160" s="17"/>
      <c r="D160" s="32"/>
    </row>
    <row r="161" spans="2:4" x14ac:dyDescent="0.2">
      <c r="B161" s="5"/>
      <c r="C161" s="17"/>
      <c r="D161" s="32"/>
    </row>
    <row r="162" spans="2:4" x14ac:dyDescent="0.2">
      <c r="B162" s="5"/>
      <c r="C162" s="17"/>
      <c r="D162" s="32"/>
    </row>
    <row r="163" spans="2:4" x14ac:dyDescent="0.2">
      <c r="B163" s="5"/>
      <c r="C163" s="17"/>
      <c r="D163" s="32"/>
    </row>
    <row r="164" spans="2:4" x14ac:dyDescent="0.2">
      <c r="B164" s="5"/>
      <c r="C164" s="17"/>
      <c r="D164" s="32"/>
    </row>
    <row r="165" spans="2:4" x14ac:dyDescent="0.2">
      <c r="B165" s="5"/>
      <c r="C165" s="17"/>
      <c r="D165" s="32"/>
    </row>
    <row r="166" spans="2:4" x14ac:dyDescent="0.2">
      <c r="B166" s="5"/>
      <c r="C166" s="17"/>
      <c r="D166" s="32"/>
    </row>
    <row r="167" spans="2:4" x14ac:dyDescent="0.2">
      <c r="B167" s="5"/>
      <c r="C167" s="17"/>
      <c r="D167" s="32"/>
    </row>
    <row r="168" spans="2:4" x14ac:dyDescent="0.2">
      <c r="B168" s="5"/>
      <c r="C168" s="17"/>
      <c r="D168" s="32"/>
    </row>
    <row r="169" spans="2:4" x14ac:dyDescent="0.2">
      <c r="B169" s="5"/>
      <c r="C169" s="17"/>
      <c r="D169" s="32"/>
    </row>
    <row r="170" spans="2:4" x14ac:dyDescent="0.2">
      <c r="B170" s="5"/>
      <c r="C170" s="17"/>
      <c r="D170" s="32"/>
    </row>
    <row r="171" spans="2:4" x14ac:dyDescent="0.2">
      <c r="B171" s="5"/>
      <c r="C171" s="17"/>
      <c r="D171" s="32"/>
    </row>
    <row r="172" spans="2:4" x14ac:dyDescent="0.2">
      <c r="B172" s="5"/>
      <c r="C172" s="17"/>
      <c r="D172" s="32"/>
    </row>
    <row r="173" spans="2:4" x14ac:dyDescent="0.2">
      <c r="B173" s="5"/>
      <c r="C173" s="17"/>
      <c r="D173" s="32"/>
    </row>
    <row r="174" spans="2:4" x14ac:dyDescent="0.2">
      <c r="B174" s="5"/>
      <c r="C174" s="17"/>
      <c r="D174" s="32"/>
    </row>
    <row r="175" spans="2:4" x14ac:dyDescent="0.2">
      <c r="B175" s="5"/>
      <c r="C175" s="17"/>
      <c r="D175" s="32"/>
    </row>
    <row r="176" spans="2:4" x14ac:dyDescent="0.2">
      <c r="B176" s="5"/>
      <c r="C176" s="17"/>
      <c r="D176" s="32"/>
    </row>
    <row r="177" spans="2:4" x14ac:dyDescent="0.2">
      <c r="B177" s="5"/>
      <c r="C177" s="17"/>
      <c r="D177" s="32"/>
    </row>
    <row r="178" spans="2:4" x14ac:dyDescent="0.2">
      <c r="B178" s="5"/>
      <c r="C178" s="17"/>
      <c r="D178" s="32"/>
    </row>
    <row r="179" spans="2:4" x14ac:dyDescent="0.2">
      <c r="B179" s="5"/>
      <c r="C179" s="17"/>
      <c r="D179" s="32"/>
    </row>
    <row r="180" spans="2:4" x14ac:dyDescent="0.2">
      <c r="B180" s="5"/>
      <c r="C180" s="17"/>
      <c r="D180" s="32"/>
    </row>
    <row r="181" spans="2:4" x14ac:dyDescent="0.2">
      <c r="B181" s="5"/>
      <c r="C181" s="17"/>
      <c r="D181" s="32"/>
    </row>
    <row r="182" spans="2:4" x14ac:dyDescent="0.2">
      <c r="B182" s="5"/>
      <c r="C182" s="17"/>
      <c r="D182" s="32"/>
    </row>
    <row r="183" spans="2:4" x14ac:dyDescent="0.2">
      <c r="B183" s="5"/>
      <c r="C183" s="17"/>
      <c r="D183" s="32"/>
    </row>
    <row r="184" spans="2:4" x14ac:dyDescent="0.2">
      <c r="B184" s="5"/>
      <c r="C184" s="17"/>
      <c r="D184" s="32"/>
    </row>
    <row r="185" spans="2:4" x14ac:dyDescent="0.2">
      <c r="B185" s="5"/>
      <c r="C185" s="17"/>
      <c r="D185" s="32"/>
    </row>
    <row r="186" spans="2:4" x14ac:dyDescent="0.2">
      <c r="B186" s="5"/>
      <c r="C186" s="17"/>
      <c r="D186" s="32"/>
    </row>
    <row r="187" spans="2:4" x14ac:dyDescent="0.2">
      <c r="B187" s="5"/>
      <c r="C187" s="17"/>
      <c r="D187" s="32"/>
    </row>
    <row r="188" spans="2:4" x14ac:dyDescent="0.2">
      <c r="B188" s="5"/>
      <c r="C188" s="17"/>
      <c r="D188" s="32"/>
    </row>
    <row r="189" spans="2:4" x14ac:dyDescent="0.2">
      <c r="B189" s="5"/>
      <c r="C189" s="17"/>
      <c r="D189" s="32"/>
    </row>
    <row r="190" spans="2:4" x14ac:dyDescent="0.2">
      <c r="B190" s="5"/>
      <c r="C190" s="17"/>
      <c r="D190" s="32"/>
    </row>
    <row r="191" spans="2:4" x14ac:dyDescent="0.2">
      <c r="B191" s="5"/>
      <c r="C191" s="17"/>
      <c r="D191" s="32"/>
    </row>
    <row r="192" spans="2:4" x14ac:dyDescent="0.2">
      <c r="B192" s="5"/>
      <c r="C192" s="17"/>
      <c r="D192" s="32"/>
    </row>
    <row r="193" spans="2:4" x14ac:dyDescent="0.2">
      <c r="B193" s="5"/>
      <c r="C193" s="17"/>
      <c r="D193" s="32"/>
    </row>
    <row r="194" spans="2:4" x14ac:dyDescent="0.2">
      <c r="B194" s="5"/>
      <c r="C194" s="17"/>
      <c r="D194" s="32"/>
    </row>
    <row r="195" spans="2:4" x14ac:dyDescent="0.2">
      <c r="B195" s="5"/>
      <c r="C195" s="17"/>
      <c r="D195" s="32"/>
    </row>
    <row r="196" spans="2:4" x14ac:dyDescent="0.2">
      <c r="B196" s="5"/>
      <c r="C196" s="17"/>
      <c r="D196" s="32"/>
    </row>
    <row r="197" spans="2:4" x14ac:dyDescent="0.2">
      <c r="B197" s="5"/>
      <c r="C197" s="17"/>
      <c r="D197" s="32"/>
    </row>
    <row r="198" spans="2:4" x14ac:dyDescent="0.2">
      <c r="B198" s="5"/>
      <c r="C198" s="17"/>
      <c r="D198" s="32"/>
    </row>
    <row r="199" spans="2:4" x14ac:dyDescent="0.2">
      <c r="B199" s="5"/>
      <c r="C199" s="17"/>
      <c r="D199" s="32"/>
    </row>
    <row r="200" spans="2:4" x14ac:dyDescent="0.2">
      <c r="B200" s="5"/>
      <c r="C200" s="17"/>
      <c r="D200" s="32"/>
    </row>
    <row r="201" spans="2:4" x14ac:dyDescent="0.2">
      <c r="B201" s="5"/>
      <c r="C201" s="17"/>
      <c r="D201" s="32"/>
    </row>
    <row r="202" spans="2:4" x14ac:dyDescent="0.2">
      <c r="B202" s="5"/>
      <c r="C202" s="17"/>
      <c r="D202" s="32"/>
    </row>
    <row r="203" spans="2:4" x14ac:dyDescent="0.2">
      <c r="B203" s="5"/>
      <c r="C203" s="17"/>
      <c r="D203" s="32"/>
    </row>
    <row r="204" spans="2:4" x14ac:dyDescent="0.2">
      <c r="B204" s="5"/>
      <c r="C204" s="17"/>
      <c r="D204" s="32"/>
    </row>
    <row r="205" spans="2:4" x14ac:dyDescent="0.2">
      <c r="B205" s="5"/>
      <c r="C205" s="17"/>
      <c r="D205" s="32"/>
    </row>
    <row r="206" spans="2:4" x14ac:dyDescent="0.2">
      <c r="B206" s="5"/>
      <c r="C206" s="17"/>
      <c r="D206" s="32"/>
    </row>
    <row r="207" spans="2:4" x14ac:dyDescent="0.2">
      <c r="B207" s="5"/>
      <c r="C207" s="17"/>
      <c r="D207" s="32"/>
    </row>
    <row r="208" spans="2:4" x14ac:dyDescent="0.2">
      <c r="B208" s="5"/>
      <c r="C208" s="17"/>
      <c r="D208" s="32"/>
    </row>
    <row r="209" spans="2:4" x14ac:dyDescent="0.2">
      <c r="B209" s="5"/>
      <c r="C209" s="17"/>
      <c r="D209" s="32"/>
    </row>
    <row r="210" spans="2:4" x14ac:dyDescent="0.2">
      <c r="B210" s="5"/>
      <c r="C210" s="17"/>
      <c r="D210" s="32"/>
    </row>
    <row r="211" spans="2:4" x14ac:dyDescent="0.2">
      <c r="B211" s="5"/>
      <c r="C211" s="17"/>
      <c r="D211" s="32"/>
    </row>
    <row r="212" spans="2:4" x14ac:dyDescent="0.2">
      <c r="B212" s="5"/>
      <c r="C212" s="17"/>
      <c r="D212" s="32"/>
    </row>
    <row r="213" spans="2:4" x14ac:dyDescent="0.2">
      <c r="B213" s="5"/>
      <c r="C213" s="17"/>
      <c r="D213" s="32"/>
    </row>
    <row r="214" spans="2:4" x14ac:dyDescent="0.2">
      <c r="B214" s="5"/>
      <c r="C214" s="17"/>
      <c r="D214" s="32"/>
    </row>
    <row r="215" spans="2:4" x14ac:dyDescent="0.2">
      <c r="B215" s="5"/>
      <c r="C215" s="17"/>
      <c r="D215" s="32"/>
    </row>
    <row r="216" spans="2:4" x14ac:dyDescent="0.2">
      <c r="B216" s="5"/>
      <c r="C216" s="17"/>
      <c r="D216" s="32"/>
    </row>
    <row r="217" spans="2:4" x14ac:dyDescent="0.2">
      <c r="B217" s="5"/>
      <c r="C217" s="17"/>
      <c r="D217" s="32"/>
    </row>
    <row r="218" spans="2:4" x14ac:dyDescent="0.2">
      <c r="B218" s="5"/>
      <c r="C218" s="17"/>
      <c r="D218" s="32"/>
    </row>
    <row r="219" spans="2:4" x14ac:dyDescent="0.2">
      <c r="B219" s="5"/>
      <c r="C219" s="17"/>
      <c r="D219" s="32"/>
    </row>
    <row r="220" spans="2:4" x14ac:dyDescent="0.2">
      <c r="B220" s="5"/>
      <c r="C220" s="17"/>
      <c r="D220" s="32"/>
    </row>
    <row r="221" spans="2:4" x14ac:dyDescent="0.2">
      <c r="B221" s="5"/>
      <c r="C221" s="17"/>
      <c r="D221" s="32"/>
    </row>
    <row r="222" spans="2:4" x14ac:dyDescent="0.2">
      <c r="B222" s="5"/>
      <c r="C222" s="17"/>
      <c r="D222" s="32"/>
    </row>
    <row r="223" spans="2:4" x14ac:dyDescent="0.2">
      <c r="B223" s="5"/>
      <c r="C223" s="17"/>
      <c r="D223" s="32"/>
    </row>
    <row r="224" spans="2:4" x14ac:dyDescent="0.2">
      <c r="B224" s="5"/>
      <c r="C224" s="17"/>
      <c r="D224" s="32"/>
    </row>
    <row r="225" spans="2:4" x14ac:dyDescent="0.2">
      <c r="B225" s="5"/>
      <c r="C225" s="17"/>
      <c r="D225" s="32"/>
    </row>
    <row r="226" spans="2:4" x14ac:dyDescent="0.2">
      <c r="B226" s="5"/>
      <c r="C226" s="17"/>
      <c r="D226" s="32"/>
    </row>
    <row r="227" spans="2:4" x14ac:dyDescent="0.2">
      <c r="B227" s="5"/>
      <c r="C227" s="17"/>
      <c r="D227" s="32"/>
    </row>
    <row r="228" spans="2:4" x14ac:dyDescent="0.2">
      <c r="B228" s="5"/>
      <c r="C228" s="17"/>
      <c r="D228" s="32"/>
    </row>
    <row r="229" spans="2:4" x14ac:dyDescent="0.2">
      <c r="B229" s="5"/>
      <c r="C229" s="17"/>
      <c r="D229" s="32"/>
    </row>
    <row r="230" spans="2:4" x14ac:dyDescent="0.2">
      <c r="B230" s="5"/>
      <c r="C230" s="17"/>
      <c r="D230" s="32"/>
    </row>
    <row r="231" spans="2:4" x14ac:dyDescent="0.2">
      <c r="B231" s="5"/>
      <c r="C231" s="17"/>
      <c r="D231" s="32"/>
    </row>
    <row r="232" spans="2:4" x14ac:dyDescent="0.2">
      <c r="B232" s="5"/>
      <c r="C232" s="17"/>
      <c r="D232" s="32"/>
    </row>
    <row r="233" spans="2:4" x14ac:dyDescent="0.2">
      <c r="B233" s="5"/>
      <c r="C233" s="17"/>
      <c r="D233" s="32"/>
    </row>
    <row r="234" spans="2:4" x14ac:dyDescent="0.2">
      <c r="B234" s="5"/>
      <c r="C234" s="17"/>
      <c r="D234" s="32"/>
    </row>
    <row r="235" spans="2:4" x14ac:dyDescent="0.2">
      <c r="B235" s="5"/>
      <c r="C235" s="17"/>
      <c r="D235" s="32"/>
    </row>
    <row r="236" spans="2:4" x14ac:dyDescent="0.2">
      <c r="B236" s="5"/>
      <c r="C236" s="17"/>
      <c r="D236" s="32"/>
    </row>
    <row r="237" spans="2:4" x14ac:dyDescent="0.2">
      <c r="B237" s="5"/>
      <c r="C237" s="17"/>
      <c r="D237" s="32"/>
    </row>
    <row r="238" spans="2:4" x14ac:dyDescent="0.2">
      <c r="B238" s="5"/>
      <c r="C238" s="17"/>
      <c r="D238" s="32"/>
    </row>
    <row r="239" spans="2:4" x14ac:dyDescent="0.2">
      <c r="B239" s="5"/>
      <c r="C239" s="17"/>
      <c r="D239" s="32"/>
    </row>
    <row r="240" spans="2:4" x14ac:dyDescent="0.2">
      <c r="B240" s="5"/>
      <c r="C240" s="17"/>
      <c r="D240" s="32"/>
    </row>
    <row r="241" spans="2:4" x14ac:dyDescent="0.2">
      <c r="B241" s="5"/>
      <c r="C241" s="17"/>
      <c r="D241" s="32"/>
    </row>
    <row r="242" spans="2:4" x14ac:dyDescent="0.2">
      <c r="B242" s="5"/>
      <c r="C242" s="17"/>
      <c r="D242" s="32"/>
    </row>
    <row r="243" spans="2:4" x14ac:dyDescent="0.2">
      <c r="B243" s="5"/>
      <c r="C243" s="17"/>
      <c r="D243" s="32"/>
    </row>
    <row r="244" spans="2:4" x14ac:dyDescent="0.2">
      <c r="B244" s="5"/>
      <c r="C244" s="17"/>
      <c r="D244" s="32"/>
    </row>
    <row r="245" spans="2:4" x14ac:dyDescent="0.2">
      <c r="B245" s="5"/>
      <c r="C245" s="17"/>
      <c r="D245" s="32"/>
    </row>
    <row r="246" spans="2:4" x14ac:dyDescent="0.2">
      <c r="B246" s="5"/>
      <c r="C246" s="17"/>
      <c r="D246" s="32"/>
    </row>
    <row r="247" spans="2:4" x14ac:dyDescent="0.2">
      <c r="B247" s="5"/>
      <c r="C247" s="17"/>
      <c r="D247" s="32"/>
    </row>
    <row r="248" spans="2:4" x14ac:dyDescent="0.2">
      <c r="B248" s="5"/>
      <c r="C248" s="17"/>
      <c r="D248" s="32"/>
    </row>
    <row r="249" spans="2:4" x14ac:dyDescent="0.2">
      <c r="B249" s="5"/>
      <c r="C249" s="17"/>
      <c r="D249" s="32"/>
    </row>
    <row r="250" spans="2:4" x14ac:dyDescent="0.2">
      <c r="B250" s="5"/>
      <c r="C250" s="17"/>
      <c r="D250" s="32"/>
    </row>
    <row r="251" spans="2:4" x14ac:dyDescent="0.2">
      <c r="B251" s="5"/>
      <c r="C251" s="17"/>
      <c r="D251" s="32"/>
    </row>
    <row r="252" spans="2:4" x14ac:dyDescent="0.2">
      <c r="B252" s="5"/>
      <c r="C252" s="17"/>
      <c r="D252" s="32"/>
    </row>
    <row r="253" spans="2:4" x14ac:dyDescent="0.2">
      <c r="B253" s="5"/>
      <c r="C253" s="17"/>
      <c r="D253" s="32"/>
    </row>
    <row r="254" spans="2:4" x14ac:dyDescent="0.2">
      <c r="B254" s="5"/>
      <c r="C254" s="17"/>
      <c r="D254" s="32"/>
    </row>
    <row r="255" spans="2:4" x14ac:dyDescent="0.2">
      <c r="B255" s="5"/>
      <c r="C255" s="17"/>
      <c r="D255" s="32"/>
    </row>
    <row r="256" spans="2:4" x14ac:dyDescent="0.2">
      <c r="B256" s="5"/>
      <c r="C256" s="17"/>
      <c r="D256" s="32"/>
    </row>
    <row r="257" spans="2:4" x14ac:dyDescent="0.2">
      <c r="B257" s="5"/>
      <c r="C257" s="17"/>
      <c r="D257" s="32"/>
    </row>
    <row r="258" spans="2:4" x14ac:dyDescent="0.2">
      <c r="B258" s="5"/>
      <c r="C258" s="17"/>
      <c r="D258" s="32"/>
    </row>
    <row r="259" spans="2:4" x14ac:dyDescent="0.2">
      <c r="B259" s="5"/>
      <c r="C259" s="17"/>
      <c r="D259" s="32"/>
    </row>
    <row r="260" spans="2:4" x14ac:dyDescent="0.2">
      <c r="B260" s="5"/>
      <c r="C260" s="17"/>
      <c r="D260" s="32"/>
    </row>
    <row r="261" spans="2:4" x14ac:dyDescent="0.2">
      <c r="B261" s="5"/>
      <c r="C261" s="17"/>
      <c r="D261" s="32"/>
    </row>
    <row r="262" spans="2:4" x14ac:dyDescent="0.2">
      <c r="B262" s="5"/>
      <c r="C262" s="17"/>
      <c r="D262" s="32"/>
    </row>
    <row r="263" spans="2:4" x14ac:dyDescent="0.2">
      <c r="B263" s="5"/>
      <c r="C263" s="17"/>
      <c r="D263" s="32"/>
    </row>
    <row r="264" spans="2:4" x14ac:dyDescent="0.2">
      <c r="B264" s="5"/>
      <c r="C264" s="17"/>
      <c r="D264" s="32"/>
    </row>
    <row r="265" spans="2:4" x14ac:dyDescent="0.2">
      <c r="B265" s="5"/>
      <c r="C265" s="17"/>
      <c r="D265" s="32"/>
    </row>
    <row r="266" spans="2:4" x14ac:dyDescent="0.2">
      <c r="B266" s="5"/>
      <c r="C266" s="17"/>
      <c r="D266" s="32"/>
    </row>
    <row r="267" spans="2:4" x14ac:dyDescent="0.2">
      <c r="B267" s="5"/>
      <c r="C267" s="17"/>
      <c r="D267" s="32"/>
    </row>
    <row r="268" spans="2:4" x14ac:dyDescent="0.2">
      <c r="B268" s="5"/>
      <c r="C268" s="17"/>
      <c r="D268" s="32"/>
    </row>
    <row r="269" spans="2:4" x14ac:dyDescent="0.2">
      <c r="B269" s="5"/>
      <c r="C269" s="17"/>
      <c r="D269" s="32"/>
    </row>
    <row r="270" spans="2:4" x14ac:dyDescent="0.2">
      <c r="B270" s="5"/>
      <c r="C270" s="17"/>
      <c r="D270" s="32"/>
    </row>
    <row r="271" spans="2:4" x14ac:dyDescent="0.2">
      <c r="B271" s="5"/>
      <c r="C271" s="17"/>
      <c r="D271" s="32"/>
    </row>
    <row r="272" spans="2:4" x14ac:dyDescent="0.2">
      <c r="B272" s="5"/>
      <c r="C272" s="17"/>
      <c r="D272" s="32"/>
    </row>
    <row r="273" spans="2:4" x14ac:dyDescent="0.2">
      <c r="B273" s="5"/>
      <c r="C273" s="17"/>
      <c r="D273" s="32"/>
    </row>
    <row r="274" spans="2:4" x14ac:dyDescent="0.2">
      <c r="B274" s="5"/>
      <c r="C274" s="17"/>
      <c r="D274" s="32"/>
    </row>
    <row r="275" spans="2:4" x14ac:dyDescent="0.2">
      <c r="B275" s="5"/>
      <c r="C275" s="17"/>
      <c r="D275" s="32"/>
    </row>
    <row r="276" spans="2:4" x14ac:dyDescent="0.2">
      <c r="B276" s="5"/>
      <c r="C276" s="17"/>
      <c r="D276" s="32"/>
    </row>
    <row r="277" spans="2:4" x14ac:dyDescent="0.2">
      <c r="B277" s="5"/>
      <c r="C277" s="17"/>
      <c r="D277" s="32"/>
    </row>
    <row r="278" spans="2:4" x14ac:dyDescent="0.2">
      <c r="B278" s="5"/>
      <c r="C278" s="17"/>
      <c r="D278" s="32"/>
    </row>
    <row r="279" spans="2:4" x14ac:dyDescent="0.2">
      <c r="B279" s="5"/>
      <c r="C279" s="17"/>
      <c r="D279" s="32"/>
    </row>
    <row r="280" spans="2:4" x14ac:dyDescent="0.2">
      <c r="B280" s="5"/>
      <c r="C280" s="17"/>
      <c r="D280" s="32"/>
    </row>
    <row r="281" spans="2:4" x14ac:dyDescent="0.2">
      <c r="B281" s="5"/>
      <c r="C281" s="17"/>
      <c r="D281" s="32"/>
    </row>
    <row r="282" spans="2:4" x14ac:dyDescent="0.2">
      <c r="B282" s="5"/>
      <c r="C282" s="17"/>
      <c r="D282" s="32"/>
    </row>
    <row r="283" spans="2:4" x14ac:dyDescent="0.2">
      <c r="B283" s="5"/>
      <c r="C283" s="17"/>
      <c r="D283" s="32"/>
    </row>
    <row r="284" spans="2:4" x14ac:dyDescent="0.2">
      <c r="B284" s="5"/>
      <c r="C284" s="17"/>
      <c r="D284" s="32"/>
    </row>
    <row r="285" spans="2:4" x14ac:dyDescent="0.2">
      <c r="B285" s="5"/>
      <c r="C285" s="17"/>
      <c r="D285" s="32"/>
    </row>
    <row r="286" spans="2:4" x14ac:dyDescent="0.2">
      <c r="B286" s="5"/>
      <c r="C286" s="17"/>
      <c r="D286" s="32"/>
    </row>
    <row r="287" spans="2:4" x14ac:dyDescent="0.2">
      <c r="B287" s="5"/>
      <c r="C287" s="17"/>
      <c r="D287" s="32"/>
    </row>
    <row r="288" spans="2:4" x14ac:dyDescent="0.2">
      <c r="B288" s="5"/>
      <c r="C288" s="17"/>
      <c r="D288" s="32"/>
    </row>
    <row r="289" spans="2:4" x14ac:dyDescent="0.2">
      <c r="B289" s="5"/>
      <c r="C289" s="17"/>
      <c r="D289" s="32"/>
    </row>
    <row r="290" spans="2:4" x14ac:dyDescent="0.2">
      <c r="B290" s="5"/>
      <c r="C290" s="17"/>
      <c r="D290" s="32"/>
    </row>
    <row r="291" spans="2:4" x14ac:dyDescent="0.2">
      <c r="B291" s="5"/>
      <c r="C291" s="17"/>
      <c r="D291" s="32"/>
    </row>
    <row r="292" spans="2:4" x14ac:dyDescent="0.2">
      <c r="B292" s="5"/>
      <c r="C292" s="17"/>
      <c r="D292" s="32"/>
    </row>
    <row r="293" spans="2:4" x14ac:dyDescent="0.2">
      <c r="B293" s="5"/>
      <c r="C293" s="17"/>
      <c r="D293" s="32"/>
    </row>
    <row r="294" spans="2:4" x14ac:dyDescent="0.2">
      <c r="B294" s="5"/>
      <c r="C294" s="17"/>
      <c r="D294" s="32"/>
    </row>
    <row r="295" spans="2:4" x14ac:dyDescent="0.2">
      <c r="B295" s="5"/>
      <c r="C295" s="17"/>
      <c r="D295" s="32"/>
    </row>
    <row r="296" spans="2:4" x14ac:dyDescent="0.2">
      <c r="B296" s="5"/>
      <c r="C296" s="17"/>
      <c r="D296" s="32"/>
    </row>
    <row r="297" spans="2:4" x14ac:dyDescent="0.2">
      <c r="B297" s="5"/>
      <c r="C297" s="17"/>
      <c r="D297" s="32"/>
    </row>
    <row r="298" spans="2:4" x14ac:dyDescent="0.2">
      <c r="B298" s="5"/>
      <c r="C298" s="17"/>
      <c r="D298" s="32"/>
    </row>
    <row r="299" spans="2:4" x14ac:dyDescent="0.2">
      <c r="B299" s="5"/>
      <c r="C299" s="17"/>
      <c r="D299" s="32"/>
    </row>
    <row r="300" spans="2:4" x14ac:dyDescent="0.2">
      <c r="B300" s="5"/>
      <c r="C300" s="17"/>
      <c r="D300" s="32"/>
    </row>
    <row r="301" spans="2:4" x14ac:dyDescent="0.2">
      <c r="B301" s="5"/>
      <c r="C301" s="17"/>
      <c r="D301" s="32"/>
    </row>
    <row r="302" spans="2:4" x14ac:dyDescent="0.2">
      <c r="B302" s="5"/>
      <c r="C302" s="17"/>
      <c r="D302" s="32"/>
    </row>
    <row r="303" spans="2:4" x14ac:dyDescent="0.2">
      <c r="B303" s="5"/>
      <c r="C303" s="17"/>
      <c r="D303" s="32"/>
    </row>
    <row r="304" spans="2:4" x14ac:dyDescent="0.2">
      <c r="B304" s="5"/>
      <c r="C304" s="17"/>
      <c r="D304" s="32"/>
    </row>
    <row r="305" spans="2:4" x14ac:dyDescent="0.2">
      <c r="B305" s="5"/>
      <c r="C305" s="17"/>
      <c r="D305" s="32"/>
    </row>
    <row r="306" spans="2:4" x14ac:dyDescent="0.2">
      <c r="B306" s="5"/>
      <c r="C306" s="17"/>
      <c r="D306" s="32"/>
    </row>
    <row r="307" spans="2:4" x14ac:dyDescent="0.2">
      <c r="B307" s="5"/>
      <c r="C307" s="17"/>
      <c r="D307" s="32"/>
    </row>
    <row r="308" spans="2:4" x14ac:dyDescent="0.2">
      <c r="B308" s="5"/>
      <c r="C308" s="17"/>
      <c r="D308" s="32"/>
    </row>
    <row r="309" spans="2:4" x14ac:dyDescent="0.2">
      <c r="B309" s="5"/>
      <c r="C309" s="17"/>
      <c r="D309" s="32"/>
    </row>
    <row r="310" spans="2:4" x14ac:dyDescent="0.2">
      <c r="B310" s="5"/>
      <c r="C310" s="17"/>
      <c r="D310" s="32"/>
    </row>
    <row r="311" spans="2:4" x14ac:dyDescent="0.2">
      <c r="B311" s="5"/>
      <c r="C311" s="17"/>
      <c r="D311" s="32"/>
    </row>
    <row r="312" spans="2:4" x14ac:dyDescent="0.2">
      <c r="B312" s="5"/>
      <c r="C312" s="17"/>
      <c r="D312" s="32"/>
    </row>
    <row r="313" spans="2:4" x14ac:dyDescent="0.2">
      <c r="B313" s="5"/>
      <c r="C313" s="17"/>
      <c r="D313" s="32"/>
    </row>
    <row r="314" spans="2:4" x14ac:dyDescent="0.2">
      <c r="B314" s="5"/>
      <c r="C314" s="17"/>
      <c r="D314" s="32"/>
    </row>
    <row r="315" spans="2:4" x14ac:dyDescent="0.2">
      <c r="B315" s="5"/>
      <c r="C315" s="17"/>
      <c r="D315" s="32"/>
    </row>
    <row r="316" spans="2:4" x14ac:dyDescent="0.2">
      <c r="B316" s="5"/>
      <c r="C316" s="17"/>
      <c r="D316" s="32"/>
    </row>
    <row r="317" spans="2:4" x14ac:dyDescent="0.2">
      <c r="B317" s="5"/>
      <c r="C317" s="17"/>
      <c r="D317" s="32"/>
    </row>
    <row r="318" spans="2:4" x14ac:dyDescent="0.2">
      <c r="B318" s="5"/>
      <c r="C318" s="17"/>
      <c r="D318" s="32"/>
    </row>
    <row r="319" spans="2:4" x14ac:dyDescent="0.2">
      <c r="B319" s="5"/>
      <c r="C319" s="17"/>
      <c r="D319" s="32"/>
    </row>
    <row r="320" spans="2:4" x14ac:dyDescent="0.2">
      <c r="B320" s="5"/>
      <c r="C320" s="17"/>
      <c r="D320" s="32"/>
    </row>
    <row r="321" spans="2:4" x14ac:dyDescent="0.2">
      <c r="B321" s="5"/>
      <c r="C321" s="17"/>
      <c r="D321" s="32"/>
    </row>
    <row r="322" spans="2:4" x14ac:dyDescent="0.2">
      <c r="B322" s="5"/>
      <c r="C322" s="17"/>
      <c r="D322" s="32"/>
    </row>
    <row r="323" spans="2:4" x14ac:dyDescent="0.2">
      <c r="B323" s="5"/>
      <c r="C323" s="17"/>
      <c r="D323" s="32"/>
    </row>
    <row r="324" spans="2:4" x14ac:dyDescent="0.2">
      <c r="B324" s="5"/>
      <c r="C324" s="17"/>
      <c r="D324" s="32"/>
    </row>
    <row r="325" spans="2:4" x14ac:dyDescent="0.2">
      <c r="B325" s="5"/>
      <c r="C325" s="17"/>
      <c r="D325" s="32"/>
    </row>
    <row r="326" spans="2:4" x14ac:dyDescent="0.2">
      <c r="B326" s="5"/>
      <c r="C326" s="17"/>
      <c r="D326" s="32"/>
    </row>
    <row r="327" spans="2:4" x14ac:dyDescent="0.2">
      <c r="B327" s="5"/>
      <c r="C327" s="17"/>
      <c r="D327" s="32"/>
    </row>
    <row r="328" spans="2:4" x14ac:dyDescent="0.2">
      <c r="B328" s="5"/>
      <c r="C328" s="17"/>
      <c r="D328" s="32"/>
    </row>
    <row r="329" spans="2:4" x14ac:dyDescent="0.2">
      <c r="B329" s="5"/>
      <c r="C329" s="17"/>
      <c r="D329" s="32"/>
    </row>
    <row r="330" spans="2:4" x14ac:dyDescent="0.2">
      <c r="B330" s="5"/>
      <c r="C330" s="17"/>
      <c r="D330" s="32"/>
    </row>
    <row r="331" spans="2:4" x14ac:dyDescent="0.2">
      <c r="B331" s="5"/>
      <c r="C331" s="17"/>
      <c r="D331" s="32"/>
    </row>
    <row r="332" spans="2:4" x14ac:dyDescent="0.2">
      <c r="B332" s="5"/>
      <c r="C332" s="17"/>
      <c r="D332" s="32"/>
    </row>
    <row r="333" spans="2:4" x14ac:dyDescent="0.2">
      <c r="B333" s="5"/>
      <c r="C333" s="17"/>
      <c r="D333" s="32"/>
    </row>
    <row r="334" spans="2:4" x14ac:dyDescent="0.2">
      <c r="B334" s="5"/>
      <c r="C334" s="17"/>
      <c r="D334" s="32"/>
    </row>
    <row r="335" spans="2:4" x14ac:dyDescent="0.2">
      <c r="B335" s="5"/>
      <c r="C335" s="17"/>
      <c r="D335" s="32"/>
    </row>
    <row r="336" spans="2:4" x14ac:dyDescent="0.2">
      <c r="B336" s="5"/>
      <c r="C336" s="17"/>
      <c r="D336" s="32"/>
    </row>
    <row r="337" spans="2:4" x14ac:dyDescent="0.2">
      <c r="B337" s="5"/>
      <c r="C337" s="17"/>
      <c r="D337" s="32"/>
    </row>
    <row r="338" spans="2:4" x14ac:dyDescent="0.2">
      <c r="B338" s="5"/>
      <c r="C338" s="17"/>
      <c r="D338" s="32"/>
    </row>
    <row r="339" spans="2:4" x14ac:dyDescent="0.2">
      <c r="B339" s="5"/>
      <c r="C339" s="17"/>
      <c r="D339" s="32"/>
    </row>
    <row r="340" spans="2:4" x14ac:dyDescent="0.2">
      <c r="B340" s="5"/>
      <c r="C340" s="17"/>
      <c r="D340" s="32"/>
    </row>
    <row r="341" spans="2:4" x14ac:dyDescent="0.2">
      <c r="B341" s="5"/>
      <c r="C341" s="17"/>
      <c r="D341" s="32"/>
    </row>
    <row r="342" spans="2:4" x14ac:dyDescent="0.2">
      <c r="B342" s="5"/>
      <c r="C342" s="17"/>
      <c r="D342" s="32"/>
    </row>
    <row r="343" spans="2:4" x14ac:dyDescent="0.2">
      <c r="B343" s="5"/>
      <c r="C343" s="17"/>
      <c r="D343" s="32"/>
    </row>
    <row r="344" spans="2:4" x14ac:dyDescent="0.2">
      <c r="B344" s="5"/>
      <c r="C344" s="17"/>
      <c r="D344" s="32"/>
    </row>
    <row r="345" spans="2:4" x14ac:dyDescent="0.2">
      <c r="B345" s="5"/>
      <c r="C345" s="17"/>
      <c r="D345" s="32"/>
    </row>
    <row r="346" spans="2:4" x14ac:dyDescent="0.2">
      <c r="B346" s="5"/>
      <c r="C346" s="17"/>
      <c r="D346" s="32"/>
    </row>
    <row r="347" spans="2:4" x14ac:dyDescent="0.2">
      <c r="B347" s="5"/>
      <c r="C347" s="17"/>
      <c r="D347" s="32"/>
    </row>
    <row r="348" spans="2:4" x14ac:dyDescent="0.2">
      <c r="B348" s="5"/>
      <c r="C348" s="17"/>
      <c r="D348" s="32"/>
    </row>
    <row r="349" spans="2:4" x14ac:dyDescent="0.2">
      <c r="B349" s="5"/>
      <c r="C349" s="17"/>
      <c r="D349" s="32"/>
    </row>
    <row r="350" spans="2:4" x14ac:dyDescent="0.2">
      <c r="B350" s="5"/>
      <c r="C350" s="17"/>
      <c r="D350" s="32"/>
    </row>
    <row r="351" spans="2:4" x14ac:dyDescent="0.2">
      <c r="B351" s="5"/>
      <c r="C351" s="17"/>
      <c r="D351" s="32"/>
    </row>
    <row r="352" spans="2:4" x14ac:dyDescent="0.2">
      <c r="B352" s="5"/>
      <c r="C352" s="17"/>
      <c r="D352" s="32"/>
    </row>
    <row r="353" spans="2:4" x14ac:dyDescent="0.2">
      <c r="B353" s="5"/>
      <c r="C353" s="17"/>
      <c r="D353" s="32"/>
    </row>
    <row r="354" spans="2:4" x14ac:dyDescent="0.2">
      <c r="B354" s="5"/>
      <c r="C354" s="17"/>
      <c r="D354" s="32"/>
    </row>
    <row r="355" spans="2:4" x14ac:dyDescent="0.2">
      <c r="B355" s="5"/>
      <c r="C355" s="17"/>
      <c r="D355" s="32"/>
    </row>
    <row r="356" spans="2:4" x14ac:dyDescent="0.2">
      <c r="B356" s="5"/>
      <c r="C356" s="17"/>
      <c r="D356" s="32"/>
    </row>
    <row r="357" spans="2:4" x14ac:dyDescent="0.2">
      <c r="B357" s="5"/>
      <c r="C357" s="17"/>
      <c r="D357" s="32"/>
    </row>
    <row r="358" spans="2:4" x14ac:dyDescent="0.2">
      <c r="B358" s="5"/>
      <c r="C358" s="17"/>
      <c r="D358" s="32"/>
    </row>
    <row r="359" spans="2:4" x14ac:dyDescent="0.2">
      <c r="B359" s="5"/>
      <c r="C359" s="17"/>
      <c r="D359" s="32"/>
    </row>
    <row r="360" spans="2:4" x14ac:dyDescent="0.2">
      <c r="B360" s="5"/>
      <c r="C360" s="17"/>
      <c r="D360" s="32"/>
    </row>
    <row r="361" spans="2:4" x14ac:dyDescent="0.2">
      <c r="B361" s="5"/>
      <c r="C361" s="17"/>
      <c r="D361" s="32"/>
    </row>
    <row r="362" spans="2:4" x14ac:dyDescent="0.2">
      <c r="B362" s="5"/>
      <c r="C362" s="17"/>
      <c r="D362" s="32"/>
    </row>
    <row r="363" spans="2:4" x14ac:dyDescent="0.2">
      <c r="B363" s="5"/>
      <c r="C363" s="17"/>
      <c r="D363" s="32"/>
    </row>
    <row r="364" spans="2:4" x14ac:dyDescent="0.2">
      <c r="B364" s="5"/>
      <c r="C364" s="17"/>
      <c r="D364" s="32"/>
    </row>
    <row r="365" spans="2:4" x14ac:dyDescent="0.2">
      <c r="B365" s="5"/>
      <c r="C365" s="17"/>
      <c r="D365" s="32"/>
    </row>
    <row r="366" spans="2:4" x14ac:dyDescent="0.2">
      <c r="B366" s="5"/>
      <c r="C366" s="17"/>
      <c r="D366" s="32"/>
    </row>
    <row r="367" spans="2:4" x14ac:dyDescent="0.2">
      <c r="B367" s="5"/>
      <c r="C367" s="17"/>
      <c r="D367" s="32"/>
    </row>
    <row r="368" spans="2:4" x14ac:dyDescent="0.2">
      <c r="B368" s="5"/>
      <c r="C368" s="17"/>
      <c r="D368" s="32"/>
    </row>
    <row r="369" spans="2:4" x14ac:dyDescent="0.2">
      <c r="B369" s="5"/>
      <c r="C369" s="17"/>
      <c r="D369" s="32"/>
    </row>
    <row r="370" spans="2:4" x14ac:dyDescent="0.2">
      <c r="B370" s="5"/>
      <c r="C370" s="17"/>
      <c r="D370" s="32"/>
    </row>
    <row r="371" spans="2:4" x14ac:dyDescent="0.2">
      <c r="B371" s="5"/>
      <c r="C371" s="17"/>
      <c r="D371" s="32"/>
    </row>
    <row r="372" spans="2:4" x14ac:dyDescent="0.2">
      <c r="B372" s="5"/>
      <c r="C372" s="17"/>
      <c r="D372" s="32"/>
    </row>
    <row r="373" spans="2:4" x14ac:dyDescent="0.2">
      <c r="B373" s="5"/>
      <c r="C373" s="17"/>
      <c r="D373" s="32"/>
    </row>
    <row r="374" spans="2:4" x14ac:dyDescent="0.2">
      <c r="B374" s="5"/>
      <c r="C374" s="17"/>
      <c r="D374" s="32"/>
    </row>
    <row r="375" spans="2:4" x14ac:dyDescent="0.2">
      <c r="B375" s="5"/>
      <c r="C375" s="17"/>
      <c r="D375" s="32"/>
    </row>
    <row r="376" spans="2:4" x14ac:dyDescent="0.2">
      <c r="B376" s="5"/>
      <c r="C376" s="17"/>
      <c r="D376" s="32"/>
    </row>
    <row r="377" spans="2:4" x14ac:dyDescent="0.2">
      <c r="B377" s="5"/>
      <c r="C377" s="17"/>
      <c r="D377" s="32"/>
    </row>
    <row r="378" spans="2:4" x14ac:dyDescent="0.2">
      <c r="B378" s="5"/>
      <c r="C378" s="17"/>
      <c r="D378" s="32"/>
    </row>
    <row r="379" spans="2:4" x14ac:dyDescent="0.2">
      <c r="B379" s="5"/>
      <c r="C379" s="17"/>
      <c r="D379" s="32"/>
    </row>
    <row r="380" spans="2:4" x14ac:dyDescent="0.2">
      <c r="B380" s="5"/>
      <c r="C380" s="17"/>
      <c r="D380" s="32"/>
    </row>
    <row r="381" spans="2:4" x14ac:dyDescent="0.2">
      <c r="B381" s="5"/>
      <c r="C381" s="17"/>
      <c r="D381" s="32"/>
    </row>
    <row r="382" spans="2:4" x14ac:dyDescent="0.2">
      <c r="B382" s="5"/>
      <c r="C382" s="17"/>
      <c r="D382" s="32"/>
    </row>
    <row r="383" spans="2:4" x14ac:dyDescent="0.2">
      <c r="B383" s="5"/>
      <c r="C383" s="17"/>
      <c r="D383" s="32"/>
    </row>
    <row r="384" spans="2:4" x14ac:dyDescent="0.2">
      <c r="B384" s="5"/>
      <c r="C384" s="17"/>
      <c r="D384" s="32"/>
    </row>
    <row r="385" spans="2:4" x14ac:dyDescent="0.2">
      <c r="B385" s="5"/>
      <c r="C385" s="17"/>
      <c r="D385" s="32"/>
    </row>
    <row r="386" spans="2:4" x14ac:dyDescent="0.2">
      <c r="B386" s="5"/>
      <c r="C386" s="17"/>
      <c r="D386" s="32"/>
    </row>
    <row r="387" spans="2:4" x14ac:dyDescent="0.2">
      <c r="B387" s="5"/>
      <c r="C387" s="17"/>
      <c r="D387" s="32"/>
    </row>
    <row r="388" spans="2:4" x14ac:dyDescent="0.2">
      <c r="B388" s="5"/>
      <c r="C388" s="17"/>
      <c r="D388" s="32"/>
    </row>
    <row r="389" spans="2:4" x14ac:dyDescent="0.2">
      <c r="B389" s="5"/>
      <c r="C389" s="17"/>
      <c r="D389" s="32"/>
    </row>
    <row r="390" spans="2:4" x14ac:dyDescent="0.2">
      <c r="B390" s="5"/>
      <c r="C390" s="17"/>
      <c r="D390" s="32"/>
    </row>
    <row r="391" spans="2:4" x14ac:dyDescent="0.2">
      <c r="B391" s="5"/>
      <c r="C391" s="17"/>
      <c r="D391" s="32"/>
    </row>
    <row r="392" spans="2:4" x14ac:dyDescent="0.2">
      <c r="B392" s="5"/>
      <c r="C392" s="17"/>
      <c r="D392" s="32"/>
    </row>
    <row r="393" spans="2:4" x14ac:dyDescent="0.2">
      <c r="B393" s="5"/>
      <c r="C393" s="17"/>
      <c r="D393" s="32"/>
    </row>
    <row r="394" spans="2:4" x14ac:dyDescent="0.2">
      <c r="B394" s="5"/>
      <c r="C394" s="17"/>
      <c r="D394" s="32"/>
    </row>
    <row r="395" spans="2:4" x14ac:dyDescent="0.2">
      <c r="B395" s="5"/>
      <c r="C395" s="17"/>
      <c r="D395" s="32"/>
    </row>
    <row r="396" spans="2:4" x14ac:dyDescent="0.2">
      <c r="B396" s="5"/>
      <c r="C396" s="17"/>
      <c r="D396" s="32"/>
    </row>
    <row r="397" spans="2:4" x14ac:dyDescent="0.2">
      <c r="B397" s="5"/>
      <c r="C397" s="17"/>
      <c r="D397" s="32"/>
    </row>
    <row r="398" spans="2:4" x14ac:dyDescent="0.2">
      <c r="B398" s="5"/>
      <c r="C398" s="17"/>
      <c r="D398" s="32"/>
    </row>
    <row r="399" spans="2:4" x14ac:dyDescent="0.2">
      <c r="B399" s="5"/>
      <c r="C399" s="17"/>
      <c r="D399" s="32"/>
    </row>
    <row r="400" spans="2:4" x14ac:dyDescent="0.2">
      <c r="B400" s="5"/>
      <c r="C400" s="17"/>
      <c r="D400" s="32"/>
    </row>
    <row r="401" spans="2:4" x14ac:dyDescent="0.2">
      <c r="B401" s="5"/>
      <c r="C401" s="17"/>
      <c r="D401" s="32"/>
    </row>
    <row r="402" spans="2:4" x14ac:dyDescent="0.2">
      <c r="B402" s="5"/>
      <c r="C402" s="17"/>
      <c r="D402" s="32"/>
    </row>
    <row r="403" spans="2:4" x14ac:dyDescent="0.2">
      <c r="B403" s="5"/>
      <c r="C403" s="17"/>
      <c r="D403" s="32"/>
    </row>
    <row r="404" spans="2:4" x14ac:dyDescent="0.2">
      <c r="B404" s="5"/>
      <c r="C404" s="17"/>
      <c r="D404" s="32"/>
    </row>
    <row r="405" spans="2:4" x14ac:dyDescent="0.2">
      <c r="B405" s="5"/>
      <c r="C405" s="17"/>
      <c r="D405" s="32"/>
    </row>
    <row r="406" spans="2:4" x14ac:dyDescent="0.2">
      <c r="B406" s="5"/>
      <c r="C406" s="17"/>
      <c r="D406" s="32"/>
    </row>
    <row r="407" spans="2:4" x14ac:dyDescent="0.2">
      <c r="B407" s="5"/>
      <c r="C407" s="17"/>
      <c r="D407" s="32"/>
    </row>
    <row r="408" spans="2:4" x14ac:dyDescent="0.2">
      <c r="B408" s="5"/>
      <c r="C408" s="17"/>
      <c r="D408" s="32"/>
    </row>
    <row r="409" spans="2:4" x14ac:dyDescent="0.2">
      <c r="B409" s="5"/>
      <c r="C409" s="17"/>
      <c r="D409" s="32"/>
    </row>
    <row r="410" spans="2:4" x14ac:dyDescent="0.2">
      <c r="B410" s="5"/>
      <c r="C410" s="17"/>
      <c r="D410" s="32"/>
    </row>
    <row r="411" spans="2:4" x14ac:dyDescent="0.2">
      <c r="B411" s="5"/>
      <c r="C411" s="17"/>
      <c r="D411" s="32"/>
    </row>
    <row r="412" spans="2:4" x14ac:dyDescent="0.2">
      <c r="B412" s="5"/>
      <c r="C412" s="17"/>
      <c r="D412" s="32"/>
    </row>
    <row r="413" spans="2:4" x14ac:dyDescent="0.2">
      <c r="B413" s="5"/>
      <c r="C413" s="17"/>
      <c r="D413" s="32"/>
    </row>
    <row r="414" spans="2:4" x14ac:dyDescent="0.2">
      <c r="B414" s="5"/>
      <c r="C414" s="17"/>
      <c r="D414" s="32"/>
    </row>
    <row r="415" spans="2:4" x14ac:dyDescent="0.2">
      <c r="B415" s="5"/>
      <c r="C415" s="17"/>
      <c r="D415" s="32"/>
    </row>
    <row r="416" spans="2:4" x14ac:dyDescent="0.2">
      <c r="B416" s="5"/>
      <c r="C416" s="17"/>
      <c r="D416" s="32"/>
    </row>
    <row r="417" spans="2:4" x14ac:dyDescent="0.2">
      <c r="B417" s="5"/>
      <c r="C417" s="17"/>
      <c r="D417" s="32"/>
    </row>
    <row r="418" spans="2:4" x14ac:dyDescent="0.2">
      <c r="B418" s="5"/>
      <c r="C418" s="17"/>
      <c r="D418" s="32"/>
    </row>
    <row r="419" spans="2:4" x14ac:dyDescent="0.2">
      <c r="B419" s="5"/>
      <c r="C419" s="17"/>
      <c r="D419" s="32"/>
    </row>
    <row r="420" spans="2:4" x14ac:dyDescent="0.2">
      <c r="B420" s="5"/>
      <c r="C420" s="17"/>
      <c r="D420" s="32"/>
    </row>
    <row r="421" spans="2:4" x14ac:dyDescent="0.2">
      <c r="B421" s="5"/>
      <c r="C421" s="17"/>
      <c r="D421" s="32"/>
    </row>
    <row r="422" spans="2:4" x14ac:dyDescent="0.2">
      <c r="B422" s="5"/>
      <c r="C422" s="17"/>
      <c r="D422" s="32"/>
    </row>
    <row r="423" spans="2:4" x14ac:dyDescent="0.2">
      <c r="B423" s="5"/>
      <c r="C423" s="17"/>
      <c r="D423" s="32"/>
    </row>
    <row r="424" spans="2:4" x14ac:dyDescent="0.2">
      <c r="B424" s="5"/>
      <c r="C424" s="17"/>
      <c r="D424" s="32"/>
    </row>
    <row r="425" spans="2:4" x14ac:dyDescent="0.2">
      <c r="B425" s="5"/>
      <c r="C425" s="17"/>
      <c r="D425" s="32"/>
    </row>
    <row r="426" spans="2:4" x14ac:dyDescent="0.2">
      <c r="B426" s="5"/>
      <c r="C426" s="17"/>
      <c r="D426" s="32"/>
    </row>
    <row r="427" spans="2:4" x14ac:dyDescent="0.2">
      <c r="B427" s="5"/>
      <c r="C427" s="17"/>
      <c r="D427" s="32"/>
    </row>
    <row r="428" spans="2:4" x14ac:dyDescent="0.2">
      <c r="B428" s="5"/>
      <c r="C428" s="17"/>
      <c r="D428" s="32"/>
    </row>
    <row r="429" spans="2:4" x14ac:dyDescent="0.2">
      <c r="B429" s="5"/>
      <c r="C429" s="17"/>
      <c r="D429" s="32"/>
    </row>
    <row r="430" spans="2:4" x14ac:dyDescent="0.2">
      <c r="B430" s="5"/>
      <c r="C430" s="17"/>
      <c r="D430" s="32"/>
    </row>
    <row r="431" spans="2:4" x14ac:dyDescent="0.2">
      <c r="B431" s="5"/>
      <c r="C431" s="17"/>
      <c r="D431" s="32"/>
    </row>
    <row r="432" spans="2:4" x14ac:dyDescent="0.2">
      <c r="B432" s="5"/>
      <c r="C432" s="17"/>
      <c r="D432" s="32"/>
    </row>
    <row r="433" spans="2:4" x14ac:dyDescent="0.2">
      <c r="B433" s="5"/>
      <c r="C433" s="17"/>
      <c r="D433" s="32"/>
    </row>
    <row r="434" spans="2:4" x14ac:dyDescent="0.2">
      <c r="B434" s="5"/>
      <c r="C434" s="17"/>
      <c r="D434" s="32"/>
    </row>
    <row r="435" spans="2:4" x14ac:dyDescent="0.2">
      <c r="B435" s="5"/>
      <c r="C435" s="17"/>
      <c r="D435" s="32"/>
    </row>
    <row r="436" spans="2:4" x14ac:dyDescent="0.2">
      <c r="B436" s="5"/>
      <c r="C436" s="17"/>
      <c r="D436" s="32"/>
    </row>
    <row r="437" spans="2:4" x14ac:dyDescent="0.2">
      <c r="B437" s="5"/>
      <c r="C437" s="17"/>
      <c r="D437" s="32"/>
    </row>
    <row r="438" spans="2:4" x14ac:dyDescent="0.2">
      <c r="B438" s="5"/>
      <c r="C438" s="17"/>
      <c r="D438" s="32"/>
    </row>
    <row r="439" spans="2:4" x14ac:dyDescent="0.2">
      <c r="B439" s="5"/>
      <c r="C439" s="17"/>
      <c r="D439" s="32"/>
    </row>
    <row r="440" spans="2:4" x14ac:dyDescent="0.2">
      <c r="B440" s="5"/>
      <c r="C440" s="17"/>
      <c r="D440" s="32"/>
    </row>
    <row r="441" spans="2:4" x14ac:dyDescent="0.2">
      <c r="B441" s="5"/>
      <c r="C441" s="17"/>
      <c r="D441" s="32"/>
    </row>
    <row r="442" spans="2:4" x14ac:dyDescent="0.2">
      <c r="B442" s="5"/>
      <c r="C442" s="17"/>
      <c r="D442" s="32"/>
    </row>
    <row r="443" spans="2:4" x14ac:dyDescent="0.2">
      <c r="B443" s="5"/>
      <c r="C443" s="17"/>
      <c r="D443" s="32"/>
    </row>
    <row r="444" spans="2:4" x14ac:dyDescent="0.2">
      <c r="B444" s="5"/>
      <c r="C444" s="17"/>
      <c r="D444" s="32"/>
    </row>
    <row r="445" spans="2:4" x14ac:dyDescent="0.2">
      <c r="B445" s="5"/>
      <c r="C445" s="17"/>
      <c r="D445" s="32"/>
    </row>
    <row r="446" spans="2:4" x14ac:dyDescent="0.2">
      <c r="B446" s="5"/>
      <c r="C446" s="17"/>
      <c r="D446" s="32"/>
    </row>
    <row r="447" spans="2:4" x14ac:dyDescent="0.2">
      <c r="B447" s="5"/>
      <c r="C447" s="17"/>
      <c r="D447" s="32"/>
    </row>
    <row r="448" spans="2:4" x14ac:dyDescent="0.2">
      <c r="B448" s="5"/>
      <c r="C448" s="17"/>
      <c r="D448" s="32"/>
    </row>
    <row r="449" spans="2:4" x14ac:dyDescent="0.2">
      <c r="B449" s="5"/>
      <c r="C449" s="17"/>
      <c r="D449" s="32"/>
    </row>
    <row r="450" spans="2:4" x14ac:dyDescent="0.2">
      <c r="B450" s="5"/>
      <c r="C450" s="17"/>
      <c r="D450" s="32"/>
    </row>
    <row r="451" spans="2:4" x14ac:dyDescent="0.2">
      <c r="B451" s="5"/>
      <c r="C451" s="17"/>
      <c r="D451" s="32"/>
    </row>
    <row r="452" spans="2:4" x14ac:dyDescent="0.2">
      <c r="B452" s="5"/>
      <c r="C452" s="17"/>
      <c r="D452" s="32"/>
    </row>
    <row r="453" spans="2:4" x14ac:dyDescent="0.2">
      <c r="B453" s="5"/>
      <c r="C453" s="17"/>
      <c r="D453" s="32"/>
    </row>
    <row r="454" spans="2:4" x14ac:dyDescent="0.2">
      <c r="B454" s="5"/>
      <c r="C454" s="17"/>
      <c r="D454" s="32"/>
    </row>
    <row r="455" spans="2:4" x14ac:dyDescent="0.2">
      <c r="B455" s="5"/>
      <c r="C455" s="17"/>
      <c r="D455" s="32"/>
    </row>
    <row r="456" spans="2:4" x14ac:dyDescent="0.2">
      <c r="B456" s="5"/>
      <c r="C456" s="17"/>
      <c r="D456" s="32"/>
    </row>
    <row r="457" spans="2:4" x14ac:dyDescent="0.2">
      <c r="B457" s="5"/>
      <c r="C457" s="17"/>
      <c r="D457" s="32"/>
    </row>
    <row r="458" spans="2:4" x14ac:dyDescent="0.2">
      <c r="B458" s="5"/>
      <c r="C458" s="17"/>
      <c r="D458" s="32"/>
    </row>
    <row r="459" spans="2:4" x14ac:dyDescent="0.2">
      <c r="B459" s="5"/>
      <c r="C459" s="17"/>
      <c r="D459" s="32"/>
    </row>
    <row r="460" spans="2:4" x14ac:dyDescent="0.2">
      <c r="B460" s="5"/>
      <c r="C460" s="17"/>
      <c r="D460" s="32"/>
    </row>
    <row r="461" spans="2:4" x14ac:dyDescent="0.2">
      <c r="B461" s="5"/>
      <c r="C461" s="17"/>
      <c r="D461" s="32"/>
    </row>
    <row r="462" spans="2:4" x14ac:dyDescent="0.2">
      <c r="B462" s="5"/>
      <c r="C462" s="17"/>
      <c r="D462" s="32"/>
    </row>
    <row r="463" spans="2:4" x14ac:dyDescent="0.2">
      <c r="B463" s="5"/>
      <c r="C463" s="17"/>
      <c r="D463" s="32"/>
    </row>
    <row r="464" spans="2:4" x14ac:dyDescent="0.2">
      <c r="B464" s="5"/>
      <c r="C464" s="17"/>
      <c r="D464" s="32"/>
    </row>
    <row r="465" spans="2:4" x14ac:dyDescent="0.2">
      <c r="B465" s="5"/>
      <c r="C465" s="17"/>
      <c r="D465" s="32"/>
    </row>
    <row r="466" spans="2:4" x14ac:dyDescent="0.2">
      <c r="B466" s="5"/>
      <c r="C466" s="17"/>
      <c r="D466" s="32"/>
    </row>
    <row r="467" spans="2:4" x14ac:dyDescent="0.2">
      <c r="B467" s="5"/>
      <c r="C467" s="17"/>
      <c r="D467" s="32"/>
    </row>
    <row r="468" spans="2:4" x14ac:dyDescent="0.2">
      <c r="B468" s="5"/>
      <c r="C468" s="17"/>
      <c r="D468" s="32"/>
    </row>
    <row r="469" spans="2:4" x14ac:dyDescent="0.2">
      <c r="B469" s="5"/>
      <c r="C469" s="17"/>
      <c r="D469" s="32"/>
    </row>
    <row r="470" spans="2:4" x14ac:dyDescent="0.2">
      <c r="B470" s="5"/>
      <c r="C470" s="17"/>
      <c r="D470" s="32"/>
    </row>
    <row r="471" spans="2:4" x14ac:dyDescent="0.2">
      <c r="B471" s="5"/>
      <c r="C471" s="17"/>
      <c r="D471" s="32"/>
    </row>
    <row r="472" spans="2:4" x14ac:dyDescent="0.2">
      <c r="B472" s="5"/>
      <c r="C472" s="17"/>
      <c r="D472" s="32"/>
    </row>
    <row r="473" spans="2:4" x14ac:dyDescent="0.2">
      <c r="B473" s="5"/>
      <c r="C473" s="17"/>
      <c r="D473" s="32"/>
    </row>
    <row r="474" spans="2:4" x14ac:dyDescent="0.2">
      <c r="B474" s="5"/>
      <c r="C474" s="17"/>
      <c r="D474" s="32"/>
    </row>
    <row r="475" spans="2:4" x14ac:dyDescent="0.2">
      <c r="B475" s="5"/>
      <c r="C475" s="17"/>
      <c r="D475" s="32"/>
    </row>
    <row r="476" spans="2:4" x14ac:dyDescent="0.2">
      <c r="B476" s="5"/>
      <c r="C476" s="17"/>
      <c r="D476" s="32"/>
    </row>
    <row r="477" spans="2:4" x14ac:dyDescent="0.2">
      <c r="B477" s="5"/>
      <c r="C477" s="17"/>
      <c r="D477" s="32"/>
    </row>
    <row r="478" spans="2:4" x14ac:dyDescent="0.2">
      <c r="B478" s="5"/>
      <c r="C478" s="17"/>
      <c r="D478" s="32"/>
    </row>
    <row r="479" spans="2:4" x14ac:dyDescent="0.2">
      <c r="B479" s="5"/>
      <c r="C479" s="17"/>
      <c r="D479" s="32"/>
    </row>
    <row r="480" spans="2:4" x14ac:dyDescent="0.2">
      <c r="B480" s="5"/>
      <c r="C480" s="17"/>
      <c r="D480" s="32"/>
    </row>
    <row r="481" spans="2:4" x14ac:dyDescent="0.2">
      <c r="B481" s="5"/>
      <c r="C481" s="17"/>
      <c r="D481" s="32"/>
    </row>
    <row r="482" spans="2:4" x14ac:dyDescent="0.2">
      <c r="B482" s="5"/>
      <c r="C482" s="17"/>
      <c r="D482" s="32"/>
    </row>
    <row r="483" spans="2:4" x14ac:dyDescent="0.2">
      <c r="B483" s="5"/>
      <c r="C483" s="17"/>
      <c r="D483" s="32"/>
    </row>
    <row r="484" spans="2:4" x14ac:dyDescent="0.2">
      <c r="B484" s="5"/>
      <c r="C484" s="17"/>
      <c r="D484" s="32"/>
    </row>
    <row r="485" spans="2:4" x14ac:dyDescent="0.2">
      <c r="B485" s="5"/>
      <c r="C485" s="17"/>
      <c r="D485" s="32"/>
    </row>
    <row r="486" spans="2:4" x14ac:dyDescent="0.2">
      <c r="B486" s="5"/>
      <c r="C486" s="17"/>
      <c r="D486" s="32"/>
    </row>
    <row r="487" spans="2:4" x14ac:dyDescent="0.2">
      <c r="B487" s="5"/>
      <c r="C487" s="17"/>
      <c r="D487" s="32"/>
    </row>
    <row r="488" spans="2:4" x14ac:dyDescent="0.2">
      <c r="B488" s="5"/>
      <c r="C488" s="17"/>
      <c r="D488" s="32"/>
    </row>
    <row r="489" spans="2:4" x14ac:dyDescent="0.2">
      <c r="B489" s="5"/>
      <c r="C489" s="17"/>
      <c r="D489" s="32"/>
    </row>
    <row r="490" spans="2:4" x14ac:dyDescent="0.2">
      <c r="B490" s="5"/>
      <c r="C490" s="17"/>
      <c r="D490" s="32"/>
    </row>
    <row r="491" spans="2:4" x14ac:dyDescent="0.2">
      <c r="B491" s="5"/>
      <c r="C491" s="17"/>
      <c r="D491" s="32"/>
    </row>
    <row r="492" spans="2:4" x14ac:dyDescent="0.2">
      <c r="B492" s="5"/>
      <c r="C492" s="17"/>
      <c r="D492" s="32"/>
    </row>
    <row r="493" spans="2:4" x14ac:dyDescent="0.2">
      <c r="B493" s="5"/>
      <c r="C493" s="17"/>
      <c r="D493" s="32"/>
    </row>
    <row r="494" spans="2:4" x14ac:dyDescent="0.2">
      <c r="B494" s="5"/>
      <c r="C494" s="17"/>
      <c r="D494" s="32"/>
    </row>
    <row r="495" spans="2:4" x14ac:dyDescent="0.2">
      <c r="B495" s="5"/>
      <c r="C495" s="17"/>
      <c r="D495" s="32"/>
    </row>
    <row r="496" spans="2:4" x14ac:dyDescent="0.2">
      <c r="B496" s="5"/>
      <c r="C496" s="17"/>
      <c r="D496" s="32"/>
    </row>
    <row r="497" spans="2:4" x14ac:dyDescent="0.2">
      <c r="B497" s="5"/>
      <c r="C497" s="17"/>
      <c r="D497" s="32"/>
    </row>
    <row r="498" spans="2:4" x14ac:dyDescent="0.2">
      <c r="B498" s="5"/>
      <c r="C498" s="17"/>
      <c r="D498" s="32"/>
    </row>
    <row r="499" spans="2:4" x14ac:dyDescent="0.2">
      <c r="B499" s="5"/>
      <c r="C499" s="17"/>
      <c r="D499" s="32"/>
    </row>
    <row r="500" spans="2:4" x14ac:dyDescent="0.2">
      <c r="B500" s="5"/>
      <c r="C500" s="17"/>
      <c r="D500" s="32"/>
    </row>
    <row r="501" spans="2:4" x14ac:dyDescent="0.2">
      <c r="B501" s="5"/>
      <c r="C501" s="17"/>
      <c r="D501" s="32"/>
    </row>
    <row r="502" spans="2:4" x14ac:dyDescent="0.2">
      <c r="B502" s="5"/>
      <c r="C502" s="17"/>
      <c r="D502" s="32"/>
    </row>
    <row r="503" spans="2:4" x14ac:dyDescent="0.2">
      <c r="B503" s="5"/>
      <c r="C503" s="17"/>
      <c r="D503" s="32"/>
    </row>
    <row r="504" spans="2:4" x14ac:dyDescent="0.2">
      <c r="B504" s="5"/>
      <c r="C504" s="17"/>
      <c r="D504" s="32"/>
    </row>
    <row r="505" spans="2:4" x14ac:dyDescent="0.2">
      <c r="B505" s="5"/>
      <c r="C505" s="17"/>
      <c r="D505" s="32"/>
    </row>
    <row r="506" spans="2:4" x14ac:dyDescent="0.2">
      <c r="B506" s="5"/>
      <c r="C506" s="17"/>
      <c r="D506" s="32"/>
    </row>
    <row r="507" spans="2:4" x14ac:dyDescent="0.2">
      <c r="B507" s="5"/>
      <c r="C507" s="17"/>
      <c r="D507" s="32"/>
    </row>
    <row r="508" spans="2:4" x14ac:dyDescent="0.2">
      <c r="B508" s="5"/>
      <c r="C508" s="17"/>
      <c r="D508" s="32"/>
    </row>
    <row r="509" spans="2:4" x14ac:dyDescent="0.2">
      <c r="B509" s="5"/>
      <c r="C509" s="17"/>
      <c r="D509" s="32"/>
    </row>
    <row r="510" spans="2:4" x14ac:dyDescent="0.2">
      <c r="B510" s="5"/>
      <c r="C510" s="17"/>
      <c r="D510" s="32"/>
    </row>
    <row r="511" spans="2:4" x14ac:dyDescent="0.2">
      <c r="B511" s="5"/>
      <c r="C511" s="17"/>
      <c r="D511" s="32"/>
    </row>
    <row r="512" spans="2:4" x14ac:dyDescent="0.2">
      <c r="B512" s="5"/>
      <c r="C512" s="17"/>
      <c r="D512" s="32"/>
    </row>
    <row r="513" spans="2:4" x14ac:dyDescent="0.2">
      <c r="B513" s="5"/>
      <c r="C513" s="17"/>
      <c r="D513" s="32"/>
    </row>
    <row r="514" spans="2:4" x14ac:dyDescent="0.2">
      <c r="B514" s="5"/>
      <c r="C514" s="17"/>
      <c r="D514" s="32"/>
    </row>
    <row r="515" spans="2:4" x14ac:dyDescent="0.2">
      <c r="B515" s="5"/>
      <c r="C515" s="17"/>
      <c r="D515" s="32"/>
    </row>
    <row r="516" spans="2:4" x14ac:dyDescent="0.2">
      <c r="B516" s="5"/>
      <c r="C516" s="17"/>
      <c r="D516" s="32"/>
    </row>
    <row r="517" spans="2:4" x14ac:dyDescent="0.2">
      <c r="B517" s="5"/>
      <c r="C517" s="17"/>
      <c r="D517" s="32"/>
    </row>
    <row r="518" spans="2:4" x14ac:dyDescent="0.2">
      <c r="B518" s="5"/>
      <c r="C518" s="17"/>
      <c r="D518" s="32"/>
    </row>
    <row r="519" spans="2:4" x14ac:dyDescent="0.2">
      <c r="B519" s="5"/>
      <c r="C519" s="17"/>
      <c r="D519" s="32"/>
    </row>
    <row r="520" spans="2:4" x14ac:dyDescent="0.2">
      <c r="B520" s="5"/>
      <c r="C520" s="17"/>
      <c r="D520" s="32"/>
    </row>
    <row r="521" spans="2:4" x14ac:dyDescent="0.2">
      <c r="B521" s="5"/>
      <c r="C521" s="17"/>
      <c r="D521" s="32"/>
    </row>
    <row r="522" spans="2:4" x14ac:dyDescent="0.2">
      <c r="B522" s="5"/>
      <c r="C522" s="17"/>
      <c r="D522" s="32"/>
    </row>
    <row r="523" spans="2:4" x14ac:dyDescent="0.2">
      <c r="B523" s="5"/>
      <c r="C523" s="17"/>
      <c r="D523" s="32"/>
    </row>
    <row r="524" spans="2:4" x14ac:dyDescent="0.2">
      <c r="B524" s="5"/>
      <c r="C524" s="17"/>
      <c r="D524" s="32"/>
    </row>
    <row r="525" spans="2:4" x14ac:dyDescent="0.2">
      <c r="B525" s="5"/>
      <c r="C525" s="17"/>
      <c r="D525" s="32"/>
    </row>
    <row r="526" spans="2:4" x14ac:dyDescent="0.2">
      <c r="B526" s="5"/>
      <c r="C526" s="17"/>
      <c r="D526" s="32"/>
    </row>
    <row r="527" spans="2:4" x14ac:dyDescent="0.2">
      <c r="B527" s="5"/>
      <c r="C527" s="17"/>
      <c r="D527" s="32"/>
    </row>
    <row r="528" spans="2:4" x14ac:dyDescent="0.2">
      <c r="B528" s="5"/>
      <c r="C528" s="17"/>
      <c r="D528" s="32"/>
    </row>
    <row r="529" spans="2:4" x14ac:dyDescent="0.2">
      <c r="B529" s="5"/>
      <c r="C529" s="17"/>
      <c r="D529" s="32"/>
    </row>
    <row r="530" spans="2:4" x14ac:dyDescent="0.2">
      <c r="B530" s="5"/>
      <c r="C530" s="17"/>
      <c r="D530" s="32"/>
    </row>
    <row r="531" spans="2:4" x14ac:dyDescent="0.2">
      <c r="B531" s="5"/>
      <c r="C531" s="17"/>
      <c r="D531" s="32"/>
    </row>
    <row r="532" spans="2:4" x14ac:dyDescent="0.2">
      <c r="B532" s="5"/>
      <c r="C532" s="17"/>
      <c r="D532" s="32"/>
    </row>
    <row r="533" spans="2:4" x14ac:dyDescent="0.2">
      <c r="B533" s="5"/>
      <c r="C533" s="17"/>
      <c r="D533" s="32"/>
    </row>
    <row r="534" spans="2:4" x14ac:dyDescent="0.2">
      <c r="B534" s="5"/>
      <c r="C534" s="17"/>
      <c r="D534" s="32"/>
    </row>
    <row r="535" spans="2:4" x14ac:dyDescent="0.2">
      <c r="B535" s="5"/>
      <c r="C535" s="17"/>
      <c r="D535" s="32"/>
    </row>
    <row r="536" spans="2:4" x14ac:dyDescent="0.2">
      <c r="B536" s="5"/>
      <c r="C536" s="17"/>
      <c r="D536" s="32"/>
    </row>
    <row r="537" spans="2:4" x14ac:dyDescent="0.2">
      <c r="B537" s="5"/>
      <c r="C537" s="17"/>
      <c r="D537" s="32"/>
    </row>
    <row r="538" spans="2:4" x14ac:dyDescent="0.2">
      <c r="B538" s="5"/>
      <c r="C538" s="17"/>
      <c r="D538" s="32"/>
    </row>
    <row r="539" spans="2:4" x14ac:dyDescent="0.2">
      <c r="B539" s="5"/>
      <c r="C539" s="17"/>
      <c r="D539" s="32"/>
    </row>
    <row r="540" spans="2:4" x14ac:dyDescent="0.2">
      <c r="B540" s="5"/>
      <c r="C540" s="17"/>
      <c r="D540" s="32"/>
    </row>
    <row r="541" spans="2:4" x14ac:dyDescent="0.2">
      <c r="B541" s="5"/>
      <c r="C541" s="17"/>
      <c r="D541" s="32"/>
    </row>
    <row r="542" spans="2:4" x14ac:dyDescent="0.2">
      <c r="B542" s="5"/>
      <c r="C542" s="17"/>
      <c r="D542" s="32"/>
    </row>
    <row r="543" spans="2:4" x14ac:dyDescent="0.2">
      <c r="B543" s="5"/>
      <c r="C543" s="17"/>
      <c r="D543" s="32"/>
    </row>
    <row r="544" spans="2:4" x14ac:dyDescent="0.2">
      <c r="B544" s="5"/>
      <c r="C544" s="17"/>
      <c r="D544" s="32"/>
    </row>
    <row r="545" spans="2:4" x14ac:dyDescent="0.2">
      <c r="B545" s="5"/>
      <c r="C545" s="17"/>
      <c r="D545" s="32"/>
    </row>
    <row r="546" spans="2:4" x14ac:dyDescent="0.2">
      <c r="B546" s="5"/>
      <c r="C546" s="17"/>
      <c r="D546" s="32"/>
    </row>
    <row r="547" spans="2:4" x14ac:dyDescent="0.2">
      <c r="B547" s="5"/>
      <c r="C547" s="17"/>
      <c r="D547" s="32"/>
    </row>
    <row r="548" spans="2:4" x14ac:dyDescent="0.2">
      <c r="B548" s="5"/>
      <c r="C548" s="17"/>
      <c r="D548" s="32"/>
    </row>
    <row r="549" spans="2:4" x14ac:dyDescent="0.2">
      <c r="B549" s="5"/>
      <c r="C549" s="17"/>
      <c r="D549" s="32"/>
    </row>
    <row r="550" spans="2:4" x14ac:dyDescent="0.2">
      <c r="B550" s="5"/>
      <c r="C550" s="17"/>
      <c r="D550" s="32"/>
    </row>
    <row r="551" spans="2:4" x14ac:dyDescent="0.2">
      <c r="B551" s="5"/>
      <c r="C551" s="17"/>
      <c r="D551" s="32"/>
    </row>
    <row r="552" spans="2:4" x14ac:dyDescent="0.2">
      <c r="B552" s="5"/>
      <c r="C552" s="17"/>
      <c r="D552" s="32"/>
    </row>
    <row r="553" spans="2:4" x14ac:dyDescent="0.2">
      <c r="B553" s="5"/>
      <c r="C553" s="17"/>
      <c r="D553" s="32"/>
    </row>
    <row r="554" spans="2:4" x14ac:dyDescent="0.2">
      <c r="B554" s="5"/>
      <c r="C554" s="17"/>
      <c r="D554" s="32"/>
    </row>
    <row r="555" spans="2:4" x14ac:dyDescent="0.2">
      <c r="B555" s="5"/>
      <c r="C555" s="17"/>
      <c r="D555" s="32"/>
    </row>
    <row r="556" spans="2:4" x14ac:dyDescent="0.2">
      <c r="B556" s="5"/>
      <c r="C556" s="17"/>
      <c r="D556" s="32"/>
    </row>
    <row r="557" spans="2:4" x14ac:dyDescent="0.2">
      <c r="B557" s="5"/>
      <c r="C557" s="17"/>
      <c r="D557" s="32"/>
    </row>
    <row r="558" spans="2:4" x14ac:dyDescent="0.2">
      <c r="B558" s="5"/>
      <c r="C558" s="17"/>
      <c r="D558" s="32"/>
    </row>
    <row r="559" spans="2:4" x14ac:dyDescent="0.2">
      <c r="B559" s="5"/>
      <c r="C559" s="17"/>
      <c r="D559" s="32"/>
    </row>
    <row r="560" spans="2:4" x14ac:dyDescent="0.2">
      <c r="B560" s="5"/>
      <c r="C560" s="17"/>
      <c r="D560" s="32"/>
    </row>
    <row r="561" spans="2:4" x14ac:dyDescent="0.2">
      <c r="B561" s="5"/>
      <c r="C561" s="17"/>
      <c r="D561" s="32"/>
    </row>
    <row r="562" spans="2:4" x14ac:dyDescent="0.2">
      <c r="B562" s="5"/>
      <c r="C562" s="17"/>
      <c r="D562" s="32"/>
    </row>
    <row r="563" spans="2:4" x14ac:dyDescent="0.2">
      <c r="B563" s="5"/>
      <c r="C563" s="17"/>
      <c r="D563" s="32"/>
    </row>
    <row r="564" spans="2:4" x14ac:dyDescent="0.2">
      <c r="B564" s="5"/>
      <c r="C564" s="17"/>
      <c r="D564" s="32"/>
    </row>
    <row r="565" spans="2:4" x14ac:dyDescent="0.2">
      <c r="B565" s="5"/>
      <c r="C565" s="17"/>
      <c r="D565" s="32"/>
    </row>
    <row r="566" spans="2:4" x14ac:dyDescent="0.2">
      <c r="B566" s="5"/>
      <c r="C566" s="17"/>
      <c r="D566" s="32"/>
    </row>
    <row r="567" spans="2:4" x14ac:dyDescent="0.2">
      <c r="B567" s="5"/>
      <c r="C567" s="17"/>
      <c r="D567" s="32"/>
    </row>
    <row r="568" spans="2:4" x14ac:dyDescent="0.2">
      <c r="B568" s="5"/>
      <c r="C568" s="17"/>
      <c r="D568" s="32"/>
    </row>
    <row r="569" spans="2:4" x14ac:dyDescent="0.2">
      <c r="B569" s="5"/>
      <c r="C569" s="17"/>
      <c r="D569" s="32"/>
    </row>
    <row r="570" spans="2:4" x14ac:dyDescent="0.2">
      <c r="B570" s="5"/>
      <c r="C570" s="17"/>
      <c r="D570" s="32"/>
    </row>
    <row r="571" spans="2:4" x14ac:dyDescent="0.2">
      <c r="B571" s="5"/>
      <c r="C571" s="17"/>
      <c r="D571" s="32"/>
    </row>
    <row r="572" spans="2:4" x14ac:dyDescent="0.2">
      <c r="B572" s="5"/>
      <c r="C572" s="17"/>
      <c r="D572" s="32"/>
    </row>
    <row r="573" spans="2:4" x14ac:dyDescent="0.2">
      <c r="B573" s="5"/>
      <c r="C573" s="17"/>
      <c r="D573" s="32"/>
    </row>
    <row r="574" spans="2:4" x14ac:dyDescent="0.2">
      <c r="B574" s="5"/>
      <c r="C574" s="17"/>
      <c r="D574" s="32"/>
    </row>
    <row r="575" spans="2:4" x14ac:dyDescent="0.2">
      <c r="B575" s="5"/>
      <c r="C575" s="17"/>
      <c r="D575" s="32"/>
    </row>
    <row r="576" spans="2:4" x14ac:dyDescent="0.2">
      <c r="B576" s="5"/>
      <c r="C576" s="17"/>
      <c r="D576" s="32"/>
    </row>
    <row r="577" spans="2:4" x14ac:dyDescent="0.2">
      <c r="B577" s="5"/>
      <c r="C577" s="17"/>
      <c r="D577" s="32"/>
    </row>
    <row r="578" spans="2:4" x14ac:dyDescent="0.2">
      <c r="B578" s="5"/>
      <c r="C578" s="17"/>
      <c r="D578" s="32"/>
    </row>
    <row r="579" spans="2:4" x14ac:dyDescent="0.2">
      <c r="B579" s="5"/>
      <c r="C579" s="17"/>
      <c r="D579" s="32"/>
    </row>
    <row r="580" spans="2:4" x14ac:dyDescent="0.2">
      <c r="B580" s="5"/>
      <c r="C580" s="17"/>
      <c r="D580" s="32"/>
    </row>
    <row r="581" spans="2:4" x14ac:dyDescent="0.2">
      <c r="B581" s="5"/>
      <c r="C581" s="17"/>
      <c r="D581" s="32"/>
    </row>
    <row r="582" spans="2:4" x14ac:dyDescent="0.2">
      <c r="B582" s="5"/>
      <c r="C582" s="17"/>
      <c r="D582" s="32"/>
    </row>
    <row r="583" spans="2:4" x14ac:dyDescent="0.2">
      <c r="B583" s="5"/>
      <c r="C583" s="17"/>
      <c r="D583" s="32"/>
    </row>
    <row r="584" spans="2:4" x14ac:dyDescent="0.2">
      <c r="B584" s="5"/>
      <c r="C584" s="17"/>
      <c r="D584" s="32"/>
    </row>
    <row r="585" spans="2:4" x14ac:dyDescent="0.2">
      <c r="B585" s="5"/>
      <c r="C585" s="17"/>
      <c r="D585" s="32"/>
    </row>
    <row r="586" spans="2:4" x14ac:dyDescent="0.2">
      <c r="B586" s="5"/>
      <c r="C586" s="17"/>
      <c r="D586" s="32"/>
    </row>
    <row r="587" spans="2:4" x14ac:dyDescent="0.2">
      <c r="B587" s="5"/>
      <c r="C587" s="17"/>
      <c r="D587" s="32"/>
    </row>
    <row r="588" spans="2:4" x14ac:dyDescent="0.2">
      <c r="B588" s="5"/>
      <c r="C588" s="17"/>
      <c r="D588" s="32"/>
    </row>
    <row r="589" spans="2:4" x14ac:dyDescent="0.2">
      <c r="B589" s="5"/>
      <c r="C589" s="17"/>
      <c r="D589" s="32"/>
    </row>
    <row r="590" spans="2:4" x14ac:dyDescent="0.2">
      <c r="B590" s="5"/>
      <c r="C590" s="17"/>
      <c r="D590" s="32"/>
    </row>
    <row r="591" spans="2:4" x14ac:dyDescent="0.2">
      <c r="B591" s="5"/>
      <c r="C591" s="17"/>
      <c r="D591" s="32"/>
    </row>
    <row r="592" spans="2:4" x14ac:dyDescent="0.2">
      <c r="B592" s="5"/>
      <c r="C592" s="17"/>
      <c r="D592" s="32"/>
    </row>
    <row r="593" spans="2:4" x14ac:dyDescent="0.2">
      <c r="B593" s="5"/>
      <c r="C593" s="17"/>
      <c r="D593" s="32"/>
    </row>
    <row r="594" spans="2:4" x14ac:dyDescent="0.2">
      <c r="B594" s="5"/>
      <c r="C594" s="17"/>
      <c r="D594" s="32"/>
    </row>
    <row r="595" spans="2:4" x14ac:dyDescent="0.2">
      <c r="B595" s="5"/>
      <c r="C595" s="17"/>
      <c r="D595" s="32"/>
    </row>
    <row r="596" spans="2:4" x14ac:dyDescent="0.2">
      <c r="B596" s="5"/>
      <c r="C596" s="17"/>
      <c r="D596" s="32"/>
    </row>
    <row r="597" spans="2:4" x14ac:dyDescent="0.2">
      <c r="B597" s="5"/>
      <c r="C597" s="17"/>
      <c r="D597" s="32"/>
    </row>
    <row r="598" spans="2:4" x14ac:dyDescent="0.2">
      <c r="B598" s="5"/>
      <c r="C598" s="17"/>
      <c r="D598" s="32"/>
    </row>
    <row r="599" spans="2:4" x14ac:dyDescent="0.2">
      <c r="B599" s="5"/>
      <c r="C599" s="17"/>
      <c r="D599" s="32"/>
    </row>
    <row r="600" spans="2:4" x14ac:dyDescent="0.2">
      <c r="B600" s="5"/>
      <c r="C600" s="17"/>
      <c r="D600" s="32"/>
    </row>
    <row r="601" spans="2:4" x14ac:dyDescent="0.2">
      <c r="B601" s="5"/>
      <c r="C601" s="17"/>
      <c r="D601" s="32"/>
    </row>
    <row r="602" spans="2:4" x14ac:dyDescent="0.2">
      <c r="B602" s="5"/>
      <c r="C602" s="17"/>
      <c r="D602" s="32"/>
    </row>
    <row r="603" spans="2:4" x14ac:dyDescent="0.2">
      <c r="B603" s="5"/>
      <c r="C603" s="17"/>
      <c r="D603" s="32"/>
    </row>
    <row r="604" spans="2:4" x14ac:dyDescent="0.2">
      <c r="B604" s="5"/>
      <c r="C604" s="17"/>
      <c r="D604" s="32"/>
    </row>
    <row r="605" spans="2:4" x14ac:dyDescent="0.2">
      <c r="B605" s="5"/>
      <c r="C605" s="17"/>
      <c r="D605" s="32"/>
    </row>
    <row r="606" spans="2:4" x14ac:dyDescent="0.2">
      <c r="B606" s="5"/>
      <c r="C606" s="17"/>
      <c r="D606" s="32"/>
    </row>
    <row r="607" spans="2:4" x14ac:dyDescent="0.2">
      <c r="B607" s="5"/>
      <c r="C607" s="17"/>
      <c r="D607" s="32"/>
    </row>
    <row r="608" spans="2:4" x14ac:dyDescent="0.2">
      <c r="B608" s="5"/>
      <c r="C608" s="17"/>
      <c r="D608" s="32"/>
    </row>
    <row r="609" spans="2:4" x14ac:dyDescent="0.2">
      <c r="B609" s="5"/>
      <c r="C609" s="17"/>
      <c r="D609" s="32"/>
    </row>
    <row r="610" spans="2:4" x14ac:dyDescent="0.2">
      <c r="B610" s="5"/>
      <c r="C610" s="17"/>
      <c r="D610" s="32"/>
    </row>
    <row r="611" spans="2:4" x14ac:dyDescent="0.2">
      <c r="B611" s="5"/>
      <c r="C611" s="17"/>
      <c r="D611" s="32"/>
    </row>
    <row r="612" spans="2:4" x14ac:dyDescent="0.2">
      <c r="B612" s="5"/>
      <c r="C612" s="17"/>
      <c r="D612" s="32"/>
    </row>
    <row r="613" spans="2:4" x14ac:dyDescent="0.2">
      <c r="B613" s="5"/>
      <c r="C613" s="17"/>
      <c r="D613" s="32"/>
    </row>
    <row r="614" spans="2:4" x14ac:dyDescent="0.2">
      <c r="B614" s="5"/>
      <c r="C614" s="17"/>
      <c r="D614" s="32"/>
    </row>
    <row r="615" spans="2:4" x14ac:dyDescent="0.2">
      <c r="B615" s="5"/>
      <c r="C615" s="17"/>
      <c r="D615" s="32"/>
    </row>
    <row r="616" spans="2:4" x14ac:dyDescent="0.2">
      <c r="B616" s="5"/>
      <c r="C616" s="17"/>
      <c r="D616" s="32"/>
    </row>
    <row r="617" spans="2:4" x14ac:dyDescent="0.2">
      <c r="B617" s="5"/>
      <c r="C617" s="17"/>
      <c r="D617" s="32"/>
    </row>
    <row r="618" spans="2:4" x14ac:dyDescent="0.2">
      <c r="B618" s="5"/>
      <c r="C618" s="17"/>
      <c r="D618" s="32"/>
    </row>
    <row r="619" spans="2:4" x14ac:dyDescent="0.2">
      <c r="B619" s="5"/>
      <c r="C619" s="17"/>
      <c r="D619" s="32"/>
    </row>
    <row r="620" spans="2:4" x14ac:dyDescent="0.2">
      <c r="B620" s="5"/>
      <c r="C620" s="17"/>
      <c r="D620" s="32"/>
    </row>
    <row r="621" spans="2:4" x14ac:dyDescent="0.2">
      <c r="B621" s="5"/>
      <c r="C621" s="17"/>
      <c r="D621" s="32"/>
    </row>
    <row r="622" spans="2:4" x14ac:dyDescent="0.2">
      <c r="B622" s="5"/>
      <c r="C622" s="17"/>
      <c r="D622" s="32"/>
    </row>
    <row r="623" spans="2:4" x14ac:dyDescent="0.2">
      <c r="B623" s="5"/>
      <c r="C623" s="17"/>
      <c r="D623" s="32"/>
    </row>
    <row r="624" spans="2:4" x14ac:dyDescent="0.2">
      <c r="B624" s="5"/>
      <c r="C624" s="17"/>
      <c r="D624" s="32"/>
    </row>
    <row r="625" spans="2:4" x14ac:dyDescent="0.2">
      <c r="B625" s="5"/>
      <c r="C625" s="17"/>
      <c r="D625" s="32"/>
    </row>
    <row r="626" spans="2:4" x14ac:dyDescent="0.2">
      <c r="B626" s="5"/>
      <c r="C626" s="17"/>
      <c r="D626" s="32"/>
    </row>
    <row r="627" spans="2:4" x14ac:dyDescent="0.2">
      <c r="B627" s="5"/>
      <c r="C627" s="17"/>
      <c r="D627" s="32"/>
    </row>
    <row r="628" spans="2:4" x14ac:dyDescent="0.2">
      <c r="B628" s="5"/>
      <c r="C628" s="17"/>
      <c r="D628" s="32"/>
    </row>
    <row r="629" spans="2:4" x14ac:dyDescent="0.2">
      <c r="B629" s="5"/>
      <c r="C629" s="17"/>
      <c r="D629" s="32"/>
    </row>
    <row r="630" spans="2:4" x14ac:dyDescent="0.2">
      <c r="B630" s="5"/>
      <c r="C630" s="17"/>
      <c r="D630" s="32"/>
    </row>
    <row r="631" spans="2:4" x14ac:dyDescent="0.2">
      <c r="B631" s="5"/>
      <c r="C631" s="17"/>
      <c r="D631" s="32"/>
    </row>
    <row r="632" spans="2:4" x14ac:dyDescent="0.2">
      <c r="B632" s="5"/>
      <c r="C632" s="17"/>
      <c r="D632" s="32"/>
    </row>
    <row r="633" spans="2:4" x14ac:dyDescent="0.2">
      <c r="B633" s="5"/>
      <c r="C633" s="17"/>
      <c r="D633" s="32"/>
    </row>
    <row r="634" spans="2:4" x14ac:dyDescent="0.2">
      <c r="B634" s="5"/>
      <c r="C634" s="17"/>
      <c r="D634" s="32"/>
    </row>
    <row r="635" spans="2:4" x14ac:dyDescent="0.2">
      <c r="B635" s="5"/>
      <c r="C635" s="17"/>
      <c r="D635" s="32"/>
    </row>
    <row r="636" spans="2:4" x14ac:dyDescent="0.2">
      <c r="B636" s="5"/>
      <c r="C636" s="17"/>
      <c r="D636" s="32"/>
    </row>
    <row r="637" spans="2:4" x14ac:dyDescent="0.2">
      <c r="B637" s="5"/>
      <c r="C637" s="17"/>
      <c r="D637" s="32"/>
    </row>
    <row r="638" spans="2:4" x14ac:dyDescent="0.2">
      <c r="B638" s="5"/>
      <c r="C638" s="17"/>
      <c r="D638" s="32"/>
    </row>
    <row r="639" spans="2:4" x14ac:dyDescent="0.2">
      <c r="B639" s="5"/>
      <c r="C639" s="17"/>
      <c r="D639" s="32"/>
    </row>
    <row r="640" spans="2:4" x14ac:dyDescent="0.2">
      <c r="B640" s="5"/>
      <c r="C640" s="17"/>
      <c r="D640" s="32"/>
    </row>
    <row r="641" spans="2:4" x14ac:dyDescent="0.2">
      <c r="B641" s="5"/>
      <c r="C641" s="17"/>
      <c r="D641" s="32"/>
    </row>
    <row r="642" spans="2:4" x14ac:dyDescent="0.2">
      <c r="B642" s="5"/>
      <c r="C642" s="17"/>
      <c r="D642" s="32"/>
    </row>
    <row r="643" spans="2:4" x14ac:dyDescent="0.2">
      <c r="B643" s="5"/>
      <c r="C643" s="17"/>
      <c r="D643" s="32"/>
    </row>
    <row r="644" spans="2:4" x14ac:dyDescent="0.2">
      <c r="B644" s="5"/>
      <c r="C644" s="17"/>
      <c r="D644" s="32"/>
    </row>
    <row r="645" spans="2:4" x14ac:dyDescent="0.2">
      <c r="B645" s="5"/>
      <c r="C645" s="17"/>
      <c r="D645" s="32"/>
    </row>
    <row r="646" spans="2:4" x14ac:dyDescent="0.2">
      <c r="B646" s="5"/>
      <c r="C646" s="17"/>
      <c r="D646" s="32"/>
    </row>
    <row r="647" spans="2:4" x14ac:dyDescent="0.2">
      <c r="B647" s="5"/>
      <c r="C647" s="17"/>
      <c r="D647" s="32"/>
    </row>
    <row r="648" spans="2:4" x14ac:dyDescent="0.2">
      <c r="B648" s="5"/>
      <c r="C648" s="17"/>
      <c r="D648" s="32"/>
    </row>
    <row r="649" spans="2:4" x14ac:dyDescent="0.2">
      <c r="B649" s="5"/>
      <c r="C649" s="17"/>
      <c r="D649" s="32"/>
    </row>
    <row r="650" spans="2:4" x14ac:dyDescent="0.2">
      <c r="B650" s="5"/>
      <c r="C650" s="17"/>
      <c r="D650" s="32"/>
    </row>
    <row r="651" spans="2:4" x14ac:dyDescent="0.2">
      <c r="B651" s="5"/>
      <c r="C651" s="17"/>
      <c r="D651" s="32"/>
    </row>
    <row r="652" spans="2:4" x14ac:dyDescent="0.2">
      <c r="B652" s="5"/>
      <c r="C652" s="17"/>
      <c r="D652" s="32"/>
    </row>
    <row r="653" spans="2:4" x14ac:dyDescent="0.2">
      <c r="B653" s="5"/>
      <c r="C653" s="17"/>
      <c r="D653" s="32"/>
    </row>
    <row r="654" spans="2:4" x14ac:dyDescent="0.2">
      <c r="B654" s="5"/>
      <c r="C654" s="17"/>
      <c r="D654" s="32"/>
    </row>
    <row r="655" spans="2:4" x14ac:dyDescent="0.2">
      <c r="B655" s="5"/>
      <c r="C655" s="17"/>
      <c r="D655" s="32"/>
    </row>
    <row r="656" spans="2:4" x14ac:dyDescent="0.2">
      <c r="B656" s="5"/>
      <c r="C656" s="17"/>
      <c r="D656" s="32"/>
    </row>
    <row r="657" spans="2:4" x14ac:dyDescent="0.2">
      <c r="B657" s="5"/>
      <c r="C657" s="17"/>
      <c r="D657" s="32"/>
    </row>
    <row r="658" spans="2:4" x14ac:dyDescent="0.2">
      <c r="B658" s="5"/>
      <c r="C658" s="17"/>
      <c r="D658" s="32"/>
    </row>
    <row r="659" spans="2:4" x14ac:dyDescent="0.2">
      <c r="B659" s="5"/>
      <c r="C659" s="17"/>
      <c r="D659" s="32"/>
    </row>
    <row r="660" spans="2:4" x14ac:dyDescent="0.2">
      <c r="B660" s="5"/>
      <c r="C660" s="17"/>
      <c r="D660" s="32"/>
    </row>
    <row r="661" spans="2:4" x14ac:dyDescent="0.2">
      <c r="B661" s="5"/>
      <c r="C661" s="17"/>
      <c r="D661" s="32"/>
    </row>
    <row r="662" spans="2:4" x14ac:dyDescent="0.2">
      <c r="B662" s="5"/>
      <c r="C662" s="17"/>
      <c r="D662" s="32"/>
    </row>
    <row r="663" spans="2:4" x14ac:dyDescent="0.2">
      <c r="B663" s="5"/>
      <c r="C663" s="17"/>
      <c r="D663" s="32"/>
    </row>
    <row r="664" spans="2:4" x14ac:dyDescent="0.2">
      <c r="B664" s="5"/>
      <c r="C664" s="17"/>
      <c r="D664" s="32"/>
    </row>
    <row r="665" spans="2:4" x14ac:dyDescent="0.2">
      <c r="B665" s="5"/>
      <c r="C665" s="17"/>
      <c r="D665" s="32"/>
    </row>
    <row r="666" spans="2:4" x14ac:dyDescent="0.2">
      <c r="B666" s="5"/>
      <c r="C666" s="17"/>
      <c r="D666" s="32"/>
    </row>
    <row r="667" spans="2:4" x14ac:dyDescent="0.2">
      <c r="B667" s="5"/>
      <c r="C667" s="17"/>
      <c r="D667" s="32"/>
    </row>
    <row r="668" spans="2:4" x14ac:dyDescent="0.2">
      <c r="B668" s="5"/>
      <c r="C668" s="17"/>
      <c r="D668" s="32"/>
    </row>
    <row r="669" spans="2:4" x14ac:dyDescent="0.2">
      <c r="B669" s="5"/>
      <c r="C669" s="17"/>
      <c r="D669" s="32"/>
    </row>
    <row r="670" spans="2:4" x14ac:dyDescent="0.2">
      <c r="B670" s="5"/>
      <c r="C670" s="17"/>
      <c r="D670" s="32"/>
    </row>
    <row r="671" spans="2:4" x14ac:dyDescent="0.2">
      <c r="B671" s="5"/>
      <c r="C671" s="17"/>
      <c r="D671" s="32"/>
    </row>
    <row r="672" spans="2:4" x14ac:dyDescent="0.2">
      <c r="B672" s="5"/>
      <c r="C672" s="17"/>
      <c r="D672" s="32"/>
    </row>
    <row r="673" spans="2:4" x14ac:dyDescent="0.2">
      <c r="B673" s="5"/>
      <c r="C673" s="17"/>
      <c r="D673" s="32"/>
    </row>
    <row r="674" spans="2:4" x14ac:dyDescent="0.2">
      <c r="B674" s="5"/>
      <c r="C674" s="17"/>
      <c r="D674" s="32"/>
    </row>
    <row r="675" spans="2:4" x14ac:dyDescent="0.2">
      <c r="B675" s="5"/>
      <c r="C675" s="17"/>
      <c r="D675" s="32"/>
    </row>
    <row r="676" spans="2:4" x14ac:dyDescent="0.2">
      <c r="B676" s="5"/>
      <c r="C676" s="17"/>
      <c r="D676" s="32"/>
    </row>
    <row r="677" spans="2:4" x14ac:dyDescent="0.2">
      <c r="B677" s="5"/>
      <c r="C677" s="17"/>
      <c r="D677" s="32"/>
    </row>
    <row r="678" spans="2:4" x14ac:dyDescent="0.2">
      <c r="B678" s="5"/>
      <c r="C678" s="17"/>
      <c r="D678" s="32"/>
    </row>
    <row r="679" spans="2:4" x14ac:dyDescent="0.2">
      <c r="B679" s="5"/>
      <c r="C679" s="17"/>
      <c r="D679" s="32"/>
    </row>
    <row r="680" spans="2:4" x14ac:dyDescent="0.2">
      <c r="B680" s="5"/>
      <c r="C680" s="17"/>
      <c r="D680" s="32"/>
    </row>
    <row r="681" spans="2:4" x14ac:dyDescent="0.2">
      <c r="B681" s="5"/>
      <c r="C681" s="17"/>
      <c r="D681" s="32"/>
    </row>
    <row r="682" spans="2:4" x14ac:dyDescent="0.2">
      <c r="B682" s="5"/>
      <c r="C682" s="17"/>
      <c r="D682" s="32"/>
    </row>
    <row r="683" spans="2:4" x14ac:dyDescent="0.2">
      <c r="B683" s="5"/>
      <c r="C683" s="17"/>
      <c r="D683" s="32"/>
    </row>
    <row r="684" spans="2:4" x14ac:dyDescent="0.2">
      <c r="B684" s="5"/>
      <c r="C684" s="17"/>
      <c r="D684" s="32"/>
    </row>
    <row r="685" spans="2:4" x14ac:dyDescent="0.2">
      <c r="B685" s="5"/>
      <c r="C685" s="17"/>
      <c r="D685" s="32"/>
    </row>
    <row r="686" spans="2:4" x14ac:dyDescent="0.2">
      <c r="B686" s="5"/>
      <c r="C686" s="17"/>
      <c r="D686" s="32"/>
    </row>
    <row r="687" spans="2:4" x14ac:dyDescent="0.2">
      <c r="B687" s="5"/>
      <c r="C687" s="17"/>
      <c r="D687" s="32"/>
    </row>
    <row r="688" spans="2:4" x14ac:dyDescent="0.2">
      <c r="B688" s="5"/>
      <c r="C688" s="17"/>
      <c r="D688" s="32"/>
    </row>
    <row r="689" spans="2:4" x14ac:dyDescent="0.2">
      <c r="B689" s="5"/>
      <c r="C689" s="17"/>
      <c r="D689" s="32"/>
    </row>
    <row r="690" spans="2:4" x14ac:dyDescent="0.2">
      <c r="B690" s="5"/>
      <c r="C690" s="17"/>
      <c r="D690" s="32"/>
    </row>
    <row r="691" spans="2:4" x14ac:dyDescent="0.2">
      <c r="B691" s="5"/>
      <c r="C691" s="17"/>
      <c r="D691" s="32"/>
    </row>
    <row r="692" spans="2:4" x14ac:dyDescent="0.2">
      <c r="B692" s="5"/>
      <c r="C692" s="17"/>
      <c r="D692" s="32"/>
    </row>
    <row r="693" spans="2:4" x14ac:dyDescent="0.2">
      <c r="B693" s="5"/>
      <c r="C693" s="17"/>
      <c r="D693" s="32"/>
    </row>
    <row r="694" spans="2:4" x14ac:dyDescent="0.2">
      <c r="B694" s="5"/>
      <c r="C694" s="17"/>
      <c r="D694" s="32"/>
    </row>
    <row r="695" spans="2:4" x14ac:dyDescent="0.2">
      <c r="B695" s="5"/>
      <c r="C695" s="17"/>
      <c r="D695" s="32"/>
    </row>
    <row r="696" spans="2:4" x14ac:dyDescent="0.2">
      <c r="B696" s="5"/>
      <c r="C696" s="17"/>
      <c r="D696" s="32"/>
    </row>
    <row r="697" spans="2:4" x14ac:dyDescent="0.2">
      <c r="B697" s="5"/>
      <c r="C697" s="17"/>
      <c r="D697" s="32"/>
    </row>
    <row r="698" spans="2:4" x14ac:dyDescent="0.2">
      <c r="B698" s="5"/>
      <c r="C698" s="17"/>
      <c r="D698" s="32"/>
    </row>
    <row r="699" spans="2:4" x14ac:dyDescent="0.2">
      <c r="B699" s="5"/>
      <c r="C699" s="17"/>
      <c r="D699" s="32"/>
    </row>
    <row r="700" spans="2:4" x14ac:dyDescent="0.2">
      <c r="B700" s="5"/>
      <c r="C700" s="17"/>
      <c r="D700" s="32"/>
    </row>
    <row r="701" spans="2:4" x14ac:dyDescent="0.2">
      <c r="B701" s="5"/>
      <c r="C701" s="17"/>
      <c r="D701" s="32"/>
    </row>
    <row r="702" spans="2:4" x14ac:dyDescent="0.2">
      <c r="B702" s="5"/>
      <c r="C702" s="17"/>
      <c r="D702" s="32"/>
    </row>
    <row r="703" spans="2:4" x14ac:dyDescent="0.2">
      <c r="B703" s="5"/>
      <c r="C703" s="17"/>
      <c r="D703" s="32"/>
    </row>
    <row r="704" spans="2:4" x14ac:dyDescent="0.2">
      <c r="B704" s="5"/>
      <c r="C704" s="17"/>
      <c r="D704" s="32"/>
    </row>
    <row r="705" spans="2:4" x14ac:dyDescent="0.2">
      <c r="B705" s="5"/>
      <c r="C705" s="17"/>
      <c r="D705" s="32"/>
    </row>
    <row r="706" spans="2:4" x14ac:dyDescent="0.2">
      <c r="B706" s="5"/>
      <c r="C706" s="17"/>
      <c r="D706" s="32"/>
    </row>
    <row r="707" spans="2:4" x14ac:dyDescent="0.2">
      <c r="B707" s="5"/>
      <c r="C707" s="17"/>
      <c r="D707" s="32"/>
    </row>
    <row r="708" spans="2:4" x14ac:dyDescent="0.2">
      <c r="B708" s="5"/>
      <c r="C708" s="17"/>
      <c r="D708" s="32"/>
    </row>
    <row r="709" spans="2:4" x14ac:dyDescent="0.2">
      <c r="B709" s="5"/>
      <c r="C709" s="17"/>
      <c r="D709" s="32"/>
    </row>
    <row r="710" spans="2:4" x14ac:dyDescent="0.2">
      <c r="B710" s="5"/>
      <c r="C710" s="17"/>
      <c r="D710" s="32"/>
    </row>
    <row r="711" spans="2:4" x14ac:dyDescent="0.2">
      <c r="B711" s="5"/>
      <c r="C711" s="17"/>
      <c r="D711" s="32"/>
    </row>
    <row r="712" spans="2:4" x14ac:dyDescent="0.2">
      <c r="B712" s="5"/>
      <c r="C712" s="17"/>
      <c r="D712" s="32"/>
    </row>
    <row r="713" spans="2:4" x14ac:dyDescent="0.2">
      <c r="B713" s="5"/>
      <c r="C713" s="17"/>
      <c r="D713" s="32"/>
    </row>
    <row r="714" spans="2:4" x14ac:dyDescent="0.2">
      <c r="B714" s="5"/>
      <c r="C714" s="17"/>
      <c r="D714" s="32"/>
    </row>
    <row r="715" spans="2:4" x14ac:dyDescent="0.2">
      <c r="B715" s="5"/>
      <c r="C715" s="17"/>
      <c r="D715" s="32"/>
    </row>
    <row r="716" spans="2:4" x14ac:dyDescent="0.2">
      <c r="B716" s="5"/>
      <c r="C716" s="17"/>
      <c r="D716" s="32"/>
    </row>
    <row r="717" spans="2:4" x14ac:dyDescent="0.2">
      <c r="B717" s="5"/>
      <c r="C717" s="17"/>
      <c r="D717" s="32"/>
    </row>
    <row r="718" spans="2:4" x14ac:dyDescent="0.2">
      <c r="B718" s="5"/>
      <c r="C718" s="17"/>
      <c r="D718" s="32"/>
    </row>
    <row r="719" spans="2:4" x14ac:dyDescent="0.2">
      <c r="B719" s="5"/>
      <c r="C719" s="17"/>
      <c r="D719" s="32"/>
    </row>
    <row r="720" spans="2:4" x14ac:dyDescent="0.2">
      <c r="B720" s="5"/>
      <c r="C720" s="17"/>
      <c r="D720" s="32"/>
    </row>
    <row r="721" spans="2:4" x14ac:dyDescent="0.2">
      <c r="B721" s="5"/>
      <c r="C721" s="17"/>
      <c r="D721" s="32"/>
    </row>
    <row r="722" spans="2:4" x14ac:dyDescent="0.2">
      <c r="B722" s="5"/>
      <c r="C722" s="17"/>
      <c r="D722" s="32"/>
    </row>
    <row r="723" spans="2:4" x14ac:dyDescent="0.2">
      <c r="B723" s="5"/>
      <c r="C723" s="17"/>
      <c r="D723" s="32"/>
    </row>
    <row r="724" spans="2:4" x14ac:dyDescent="0.2">
      <c r="B724" s="5"/>
      <c r="C724" s="17"/>
      <c r="D724" s="32"/>
    </row>
    <row r="725" spans="2:4" x14ac:dyDescent="0.2">
      <c r="B725" s="5"/>
      <c r="C725" s="17"/>
      <c r="D725" s="32"/>
    </row>
    <row r="726" spans="2:4" x14ac:dyDescent="0.2">
      <c r="B726" s="5"/>
      <c r="C726" s="17"/>
      <c r="D726" s="32"/>
    </row>
    <row r="727" spans="2:4" x14ac:dyDescent="0.2">
      <c r="B727" s="5"/>
      <c r="C727" s="17"/>
      <c r="D727" s="32"/>
    </row>
    <row r="728" spans="2:4" x14ac:dyDescent="0.2">
      <c r="B728" s="5"/>
      <c r="C728" s="17"/>
      <c r="D728" s="32"/>
    </row>
    <row r="729" spans="2:4" x14ac:dyDescent="0.2">
      <c r="B729" s="5"/>
      <c r="C729" s="17"/>
      <c r="D729" s="32"/>
    </row>
    <row r="730" spans="2:4" x14ac:dyDescent="0.2">
      <c r="B730" s="5"/>
      <c r="C730" s="17"/>
      <c r="D730" s="32"/>
    </row>
    <row r="731" spans="2:4" x14ac:dyDescent="0.2">
      <c r="B731" s="5"/>
      <c r="C731" s="17"/>
      <c r="D731" s="32"/>
    </row>
    <row r="732" spans="2:4" x14ac:dyDescent="0.2">
      <c r="B732" s="5"/>
      <c r="C732" s="17"/>
      <c r="D732" s="32"/>
    </row>
    <row r="733" spans="2:4" x14ac:dyDescent="0.2">
      <c r="B733" s="5"/>
      <c r="C733" s="17"/>
      <c r="D733" s="32"/>
    </row>
    <row r="734" spans="2:4" x14ac:dyDescent="0.2">
      <c r="B734" s="5"/>
      <c r="C734" s="17"/>
      <c r="D734" s="32"/>
    </row>
    <row r="735" spans="2:4" x14ac:dyDescent="0.2">
      <c r="B735" s="5"/>
      <c r="C735" s="17"/>
      <c r="D735" s="32"/>
    </row>
    <row r="736" spans="2:4" x14ac:dyDescent="0.2">
      <c r="B736" s="5"/>
      <c r="C736" s="17"/>
      <c r="D736" s="32"/>
    </row>
    <row r="737" spans="2:4" x14ac:dyDescent="0.2">
      <c r="B737" s="5"/>
      <c r="C737" s="17"/>
      <c r="D737" s="32"/>
    </row>
    <row r="738" spans="2:4" x14ac:dyDescent="0.2">
      <c r="B738" s="5"/>
      <c r="C738" s="17"/>
      <c r="D738" s="32"/>
    </row>
    <row r="739" spans="2:4" x14ac:dyDescent="0.2">
      <c r="B739" s="5"/>
      <c r="C739" s="17"/>
      <c r="D739" s="32"/>
    </row>
    <row r="740" spans="2:4" x14ac:dyDescent="0.2">
      <c r="B740" s="5"/>
      <c r="C740" s="17"/>
      <c r="D740" s="32"/>
    </row>
    <row r="741" spans="2:4" x14ac:dyDescent="0.2">
      <c r="B741" s="5"/>
      <c r="C741" s="17"/>
      <c r="D741" s="32"/>
    </row>
    <row r="742" spans="2:4" x14ac:dyDescent="0.2">
      <c r="B742" s="5"/>
      <c r="C742" s="17"/>
      <c r="D742" s="32"/>
    </row>
    <row r="743" spans="2:4" x14ac:dyDescent="0.2">
      <c r="B743" s="5"/>
      <c r="C743" s="17"/>
      <c r="D743" s="32"/>
    </row>
    <row r="744" spans="2:4" x14ac:dyDescent="0.2">
      <c r="B744" s="5"/>
      <c r="C744" s="17"/>
      <c r="D744" s="32"/>
    </row>
    <row r="745" spans="2:4" x14ac:dyDescent="0.2">
      <c r="B745" s="5"/>
      <c r="C745" s="17"/>
      <c r="D745" s="32"/>
    </row>
    <row r="746" spans="2:4" x14ac:dyDescent="0.2">
      <c r="B746" s="5"/>
      <c r="C746" s="17"/>
      <c r="D746" s="32"/>
    </row>
    <row r="747" spans="2:4" x14ac:dyDescent="0.2">
      <c r="B747" s="5"/>
      <c r="C747" s="17"/>
      <c r="D747" s="32"/>
    </row>
    <row r="748" spans="2:4" x14ac:dyDescent="0.2">
      <c r="B748" s="5"/>
      <c r="C748" s="17"/>
      <c r="D748" s="32"/>
    </row>
    <row r="749" spans="2:4" x14ac:dyDescent="0.2">
      <c r="B749" s="5"/>
      <c r="C749" s="17"/>
      <c r="D749" s="32"/>
    </row>
    <row r="750" spans="2:4" x14ac:dyDescent="0.2">
      <c r="B750" s="5"/>
      <c r="C750" s="17"/>
      <c r="D750" s="32"/>
    </row>
    <row r="751" spans="2:4" x14ac:dyDescent="0.2">
      <c r="B751" s="5"/>
      <c r="C751" s="17"/>
      <c r="D751" s="32"/>
    </row>
    <row r="752" spans="2:4" x14ac:dyDescent="0.2">
      <c r="B752" s="5"/>
      <c r="C752" s="17"/>
      <c r="D752" s="32"/>
    </row>
    <row r="753" spans="2:4" x14ac:dyDescent="0.2">
      <c r="B753" s="5"/>
      <c r="C753" s="17"/>
      <c r="D753" s="32"/>
    </row>
    <row r="754" spans="2:4" x14ac:dyDescent="0.2">
      <c r="B754" s="5"/>
      <c r="C754" s="17"/>
      <c r="D754" s="32"/>
    </row>
    <row r="755" spans="2:4" x14ac:dyDescent="0.2">
      <c r="B755" s="5"/>
      <c r="C755" s="17"/>
      <c r="D755" s="32"/>
    </row>
    <row r="756" spans="2:4" x14ac:dyDescent="0.2">
      <c r="B756" s="5"/>
      <c r="C756" s="17"/>
      <c r="D756" s="32"/>
    </row>
    <row r="757" spans="2:4" x14ac:dyDescent="0.2">
      <c r="B757" s="5"/>
      <c r="C757" s="17"/>
      <c r="D757" s="32"/>
    </row>
    <row r="758" spans="2:4" x14ac:dyDescent="0.2">
      <c r="B758" s="5"/>
      <c r="C758" s="17"/>
      <c r="D758" s="32"/>
    </row>
    <row r="759" spans="2:4" x14ac:dyDescent="0.2">
      <c r="B759" s="5"/>
      <c r="C759" s="17"/>
      <c r="D759" s="32"/>
    </row>
    <row r="760" spans="2:4" x14ac:dyDescent="0.2">
      <c r="B760" s="5"/>
      <c r="C760" s="17"/>
      <c r="D760" s="32"/>
    </row>
    <row r="761" spans="2:4" x14ac:dyDescent="0.2">
      <c r="B761" s="5"/>
      <c r="C761" s="17"/>
      <c r="D761" s="32"/>
    </row>
    <row r="762" spans="2:4" x14ac:dyDescent="0.2">
      <c r="B762" s="5"/>
      <c r="C762" s="17"/>
      <c r="D762" s="32"/>
    </row>
    <row r="763" spans="2:4" x14ac:dyDescent="0.2">
      <c r="B763" s="5"/>
      <c r="C763" s="17"/>
      <c r="D763" s="32"/>
    </row>
    <row r="764" spans="2:4" x14ac:dyDescent="0.2">
      <c r="B764" s="5"/>
      <c r="C764" s="17"/>
      <c r="D764" s="32"/>
    </row>
    <row r="765" spans="2:4" x14ac:dyDescent="0.2">
      <c r="B765" s="5"/>
      <c r="C765" s="17"/>
      <c r="D765" s="32"/>
    </row>
    <row r="766" spans="2:4" x14ac:dyDescent="0.2">
      <c r="B766" s="5"/>
      <c r="C766" s="17"/>
      <c r="D766" s="32"/>
    </row>
    <row r="767" spans="2:4" x14ac:dyDescent="0.2">
      <c r="B767" s="5"/>
      <c r="C767" s="17"/>
      <c r="D767" s="32"/>
    </row>
    <row r="768" spans="2:4" x14ac:dyDescent="0.2">
      <c r="B768" s="5"/>
      <c r="C768" s="17"/>
      <c r="D768" s="32"/>
    </row>
    <row r="769" spans="2:4" x14ac:dyDescent="0.2">
      <c r="B769" s="5"/>
      <c r="C769" s="17"/>
      <c r="D769" s="32"/>
    </row>
    <row r="770" spans="2:4" x14ac:dyDescent="0.2">
      <c r="B770" s="5"/>
      <c r="C770" s="17"/>
      <c r="D770" s="32"/>
    </row>
    <row r="771" spans="2:4" x14ac:dyDescent="0.2">
      <c r="B771" s="5"/>
      <c r="C771" s="17"/>
      <c r="D771" s="32"/>
    </row>
    <row r="772" spans="2:4" x14ac:dyDescent="0.2">
      <c r="B772" s="5"/>
      <c r="C772" s="17"/>
      <c r="D772" s="32"/>
    </row>
    <row r="773" spans="2:4" x14ac:dyDescent="0.2">
      <c r="B773" s="5"/>
      <c r="C773" s="17"/>
      <c r="D773" s="32"/>
    </row>
    <row r="774" spans="2:4" x14ac:dyDescent="0.2">
      <c r="B774" s="5"/>
      <c r="C774" s="17"/>
      <c r="D774" s="32"/>
    </row>
    <row r="775" spans="2:4" x14ac:dyDescent="0.2">
      <c r="B775" s="5"/>
      <c r="C775" s="17"/>
      <c r="D775" s="32"/>
    </row>
    <row r="776" spans="2:4" x14ac:dyDescent="0.2">
      <c r="B776" s="5"/>
      <c r="C776" s="17"/>
      <c r="D776" s="32"/>
    </row>
    <row r="777" spans="2:4" x14ac:dyDescent="0.2">
      <c r="B777" s="5"/>
      <c r="C777" s="17"/>
      <c r="D777" s="32"/>
    </row>
    <row r="778" spans="2:4" x14ac:dyDescent="0.2">
      <c r="B778" s="5"/>
      <c r="C778" s="17"/>
      <c r="D778" s="32"/>
    </row>
    <row r="779" spans="2:4" x14ac:dyDescent="0.2">
      <c r="B779" s="5"/>
      <c r="C779" s="17"/>
      <c r="D779" s="32"/>
    </row>
    <row r="780" spans="2:4" x14ac:dyDescent="0.2">
      <c r="B780" s="5"/>
      <c r="C780" s="17"/>
      <c r="D780" s="32"/>
    </row>
    <row r="781" spans="2:4" x14ac:dyDescent="0.2">
      <c r="B781" s="5"/>
      <c r="C781" s="17"/>
      <c r="D781" s="32"/>
    </row>
    <row r="782" spans="2:4" x14ac:dyDescent="0.2">
      <c r="B782" s="5"/>
      <c r="C782" s="17"/>
      <c r="D782" s="32"/>
    </row>
    <row r="783" spans="2:4" x14ac:dyDescent="0.2">
      <c r="B783" s="5"/>
      <c r="C783" s="17"/>
      <c r="D783" s="32"/>
    </row>
    <row r="784" spans="2:4" x14ac:dyDescent="0.2">
      <c r="B784" s="5"/>
      <c r="C784" s="17"/>
      <c r="D784" s="32"/>
    </row>
    <row r="785" spans="2:4" x14ac:dyDescent="0.2">
      <c r="B785" s="5"/>
      <c r="C785" s="17"/>
      <c r="D785" s="32"/>
    </row>
    <row r="786" spans="2:4" x14ac:dyDescent="0.2">
      <c r="B786" s="5"/>
      <c r="C786" s="17"/>
      <c r="D786" s="32"/>
    </row>
    <row r="787" spans="2:4" x14ac:dyDescent="0.2">
      <c r="B787" s="5"/>
      <c r="C787" s="17"/>
      <c r="D787" s="32"/>
    </row>
    <row r="788" spans="2:4" x14ac:dyDescent="0.2">
      <c r="B788" s="5"/>
      <c r="C788" s="17"/>
      <c r="D788" s="32"/>
    </row>
    <row r="789" spans="2:4" x14ac:dyDescent="0.2">
      <c r="B789" s="5"/>
      <c r="C789" s="17"/>
      <c r="D789" s="32"/>
    </row>
    <row r="790" spans="2:4" x14ac:dyDescent="0.2">
      <c r="B790" s="5"/>
      <c r="C790" s="17"/>
      <c r="D790" s="32"/>
    </row>
    <row r="791" spans="2:4" x14ac:dyDescent="0.2">
      <c r="B791" s="5"/>
      <c r="C791" s="17"/>
      <c r="D791" s="32"/>
    </row>
    <row r="792" spans="2:4" x14ac:dyDescent="0.2">
      <c r="B792" s="5"/>
      <c r="C792" s="17"/>
      <c r="D792" s="32"/>
    </row>
    <row r="793" spans="2:4" x14ac:dyDescent="0.2">
      <c r="B793" s="5"/>
      <c r="C793" s="17"/>
      <c r="D793" s="32"/>
    </row>
    <row r="794" spans="2:4" x14ac:dyDescent="0.2">
      <c r="B794" s="5"/>
      <c r="C794" s="17"/>
      <c r="D794" s="32"/>
    </row>
    <row r="795" spans="2:4" x14ac:dyDescent="0.2">
      <c r="B795" s="5"/>
      <c r="C795" s="17"/>
      <c r="D795" s="32"/>
    </row>
    <row r="796" spans="2:4" x14ac:dyDescent="0.2">
      <c r="B796" s="5"/>
      <c r="C796" s="17"/>
      <c r="D796" s="32"/>
    </row>
    <row r="797" spans="2:4" x14ac:dyDescent="0.2">
      <c r="B797" s="5"/>
      <c r="C797" s="17"/>
      <c r="D797" s="32"/>
    </row>
    <row r="798" spans="2:4" x14ac:dyDescent="0.2">
      <c r="B798" s="5"/>
      <c r="C798" s="17"/>
      <c r="D798" s="32"/>
    </row>
    <row r="799" spans="2:4" x14ac:dyDescent="0.2">
      <c r="B799" s="5"/>
      <c r="C799" s="17"/>
      <c r="D799" s="32"/>
    </row>
    <row r="800" spans="2:4" x14ac:dyDescent="0.2">
      <c r="B800" s="5"/>
      <c r="C800" s="17"/>
      <c r="D800" s="32"/>
    </row>
    <row r="801" spans="2:4" x14ac:dyDescent="0.2">
      <c r="B801" s="5"/>
      <c r="C801" s="17"/>
      <c r="D801" s="32"/>
    </row>
    <row r="802" spans="2:4" x14ac:dyDescent="0.2">
      <c r="B802" s="5"/>
      <c r="C802" s="17"/>
      <c r="D802" s="32"/>
    </row>
    <row r="803" spans="2:4" x14ac:dyDescent="0.2">
      <c r="B803" s="5"/>
      <c r="C803" s="17"/>
      <c r="D803" s="32"/>
    </row>
    <row r="804" spans="2:4" x14ac:dyDescent="0.2">
      <c r="B804" s="5"/>
      <c r="C804" s="17"/>
      <c r="D804" s="32"/>
    </row>
    <row r="805" spans="2:4" x14ac:dyDescent="0.2">
      <c r="B805" s="5"/>
      <c r="C805" s="17"/>
      <c r="D805" s="32"/>
    </row>
    <row r="806" spans="2:4" x14ac:dyDescent="0.2">
      <c r="B806" s="5"/>
      <c r="C806" s="17"/>
      <c r="D806" s="32"/>
    </row>
    <row r="807" spans="2:4" x14ac:dyDescent="0.2">
      <c r="B807" s="5"/>
      <c r="C807" s="17"/>
      <c r="D807" s="32"/>
    </row>
    <row r="808" spans="2:4" x14ac:dyDescent="0.2">
      <c r="B808" s="5"/>
      <c r="C808" s="17"/>
      <c r="D808" s="32"/>
    </row>
    <row r="809" spans="2:4" x14ac:dyDescent="0.2">
      <c r="B809" s="5"/>
      <c r="C809" s="17"/>
      <c r="D809" s="32"/>
    </row>
    <row r="810" spans="2:4" x14ac:dyDescent="0.2">
      <c r="B810" s="5"/>
      <c r="C810" s="17"/>
      <c r="D810" s="32"/>
    </row>
    <row r="811" spans="2:4" x14ac:dyDescent="0.2">
      <c r="B811" s="5"/>
      <c r="C811" s="17"/>
      <c r="D811" s="32"/>
    </row>
    <row r="812" spans="2:4" x14ac:dyDescent="0.2">
      <c r="B812" s="5"/>
      <c r="C812" s="17"/>
      <c r="D812" s="32"/>
    </row>
    <row r="813" spans="2:4" x14ac:dyDescent="0.2">
      <c r="B813" s="5"/>
      <c r="C813" s="17"/>
      <c r="D813" s="32"/>
    </row>
    <row r="814" spans="2:4" x14ac:dyDescent="0.2">
      <c r="B814" s="5"/>
      <c r="C814" s="17"/>
      <c r="D814" s="32"/>
    </row>
    <row r="815" spans="2:4" x14ac:dyDescent="0.2">
      <c r="B815" s="5"/>
      <c r="C815" s="17"/>
      <c r="D815" s="32"/>
    </row>
    <row r="816" spans="2:4" x14ac:dyDescent="0.2">
      <c r="B816" s="5"/>
      <c r="C816" s="17"/>
      <c r="D816" s="32"/>
    </row>
    <row r="817" spans="2:4" x14ac:dyDescent="0.2">
      <c r="B817" s="5"/>
      <c r="C817" s="17"/>
      <c r="D817" s="32"/>
    </row>
    <row r="818" spans="2:4" x14ac:dyDescent="0.2">
      <c r="B818" s="5"/>
      <c r="C818" s="17"/>
      <c r="D818" s="32"/>
    </row>
    <row r="819" spans="2:4" x14ac:dyDescent="0.2">
      <c r="B819" s="5"/>
      <c r="C819" s="17"/>
      <c r="D819" s="32"/>
    </row>
    <row r="820" spans="2:4" x14ac:dyDescent="0.2">
      <c r="B820" s="5"/>
      <c r="C820" s="17"/>
      <c r="D820" s="32"/>
    </row>
    <row r="821" spans="2:4" x14ac:dyDescent="0.2">
      <c r="B821" s="5"/>
      <c r="C821" s="17"/>
      <c r="D821" s="32"/>
    </row>
    <row r="822" spans="2:4" x14ac:dyDescent="0.2">
      <c r="B822" s="5"/>
      <c r="C822" s="17"/>
      <c r="D822" s="32"/>
    </row>
    <row r="823" spans="2:4" x14ac:dyDescent="0.2">
      <c r="B823" s="5"/>
      <c r="C823" s="17"/>
      <c r="D823" s="32"/>
    </row>
    <row r="824" spans="2:4" x14ac:dyDescent="0.2">
      <c r="B824" s="5"/>
      <c r="C824" s="17"/>
      <c r="D824" s="32"/>
    </row>
    <row r="825" spans="2:4" x14ac:dyDescent="0.2">
      <c r="B825" s="5"/>
      <c r="C825" s="17"/>
      <c r="D825" s="32"/>
    </row>
    <row r="826" spans="2:4" x14ac:dyDescent="0.2">
      <c r="B826" s="5"/>
      <c r="C826" s="17"/>
      <c r="D826" s="32"/>
    </row>
    <row r="827" spans="2:4" x14ac:dyDescent="0.2">
      <c r="B827" s="5"/>
      <c r="C827" s="17"/>
      <c r="D827" s="32"/>
    </row>
    <row r="828" spans="2:4" x14ac:dyDescent="0.2">
      <c r="B828" s="5"/>
      <c r="C828" s="17"/>
      <c r="D828" s="32"/>
    </row>
    <row r="829" spans="2:4" x14ac:dyDescent="0.2">
      <c r="B829" s="5"/>
      <c r="C829" s="17"/>
      <c r="D829" s="32"/>
    </row>
    <row r="830" spans="2:4" x14ac:dyDescent="0.2">
      <c r="B830" s="5"/>
      <c r="C830" s="17"/>
      <c r="D830" s="32"/>
    </row>
    <row r="831" spans="2:4" x14ac:dyDescent="0.2">
      <c r="B831" s="5"/>
      <c r="C831" s="17"/>
      <c r="D831" s="32"/>
    </row>
    <row r="832" spans="2:4" x14ac:dyDescent="0.2">
      <c r="B832" s="5"/>
      <c r="C832" s="17"/>
      <c r="D832" s="32"/>
    </row>
    <row r="833" spans="2:4" x14ac:dyDescent="0.2">
      <c r="B833" s="5"/>
      <c r="C833" s="17"/>
      <c r="D833" s="32"/>
    </row>
    <row r="834" spans="2:4" x14ac:dyDescent="0.2">
      <c r="B834" s="5"/>
      <c r="C834" s="17"/>
      <c r="D834" s="32"/>
    </row>
    <row r="835" spans="2:4" x14ac:dyDescent="0.2">
      <c r="B835" s="5"/>
      <c r="C835" s="17"/>
      <c r="D835" s="32"/>
    </row>
    <row r="836" spans="2:4" x14ac:dyDescent="0.2">
      <c r="B836" s="5"/>
      <c r="C836" s="17"/>
      <c r="D836" s="32"/>
    </row>
    <row r="837" spans="2:4" x14ac:dyDescent="0.2">
      <c r="B837" s="5"/>
      <c r="C837" s="17"/>
      <c r="D837" s="32"/>
    </row>
    <row r="838" spans="2:4" x14ac:dyDescent="0.2">
      <c r="B838" s="5"/>
      <c r="C838" s="17"/>
      <c r="D838" s="32"/>
    </row>
    <row r="839" spans="2:4" x14ac:dyDescent="0.2">
      <c r="B839" s="5"/>
      <c r="C839" s="17"/>
      <c r="D839" s="32"/>
    </row>
    <row r="840" spans="2:4" x14ac:dyDescent="0.2">
      <c r="B840" s="5"/>
      <c r="C840" s="17"/>
      <c r="D840" s="32"/>
    </row>
    <row r="841" spans="2:4" x14ac:dyDescent="0.2">
      <c r="B841" s="5"/>
      <c r="C841" s="17"/>
      <c r="D841" s="32"/>
    </row>
    <row r="842" spans="2:4" x14ac:dyDescent="0.2">
      <c r="B842" s="5"/>
      <c r="C842" s="17"/>
      <c r="D842" s="32"/>
    </row>
    <row r="843" spans="2:4" x14ac:dyDescent="0.2">
      <c r="B843" s="5"/>
      <c r="C843" s="17"/>
      <c r="D843" s="32"/>
    </row>
    <row r="844" spans="2:4" x14ac:dyDescent="0.2">
      <c r="B844" s="5"/>
      <c r="C844" s="17"/>
      <c r="D844" s="32"/>
    </row>
    <row r="845" spans="2:4" x14ac:dyDescent="0.2">
      <c r="B845" s="5"/>
      <c r="C845" s="17"/>
      <c r="D845" s="32"/>
    </row>
    <row r="846" spans="2:4" x14ac:dyDescent="0.2">
      <c r="B846" s="5"/>
      <c r="C846" s="17"/>
      <c r="D846" s="32"/>
    </row>
    <row r="847" spans="2:4" x14ac:dyDescent="0.2">
      <c r="B847" s="5"/>
      <c r="C847" s="17"/>
      <c r="D847" s="32"/>
    </row>
    <row r="848" spans="2:4" x14ac:dyDescent="0.2">
      <c r="B848" s="5"/>
      <c r="C848" s="17"/>
      <c r="D848" s="32"/>
    </row>
    <row r="849" spans="2:4" x14ac:dyDescent="0.2">
      <c r="B849" s="5"/>
      <c r="C849" s="17"/>
      <c r="D849" s="32"/>
    </row>
    <row r="850" spans="2:4" x14ac:dyDescent="0.2">
      <c r="B850" s="5"/>
      <c r="C850" s="17"/>
      <c r="D850" s="32"/>
    </row>
    <row r="851" spans="2:4" x14ac:dyDescent="0.2">
      <c r="B851" s="5"/>
      <c r="C851" s="17"/>
      <c r="D851" s="32"/>
    </row>
    <row r="852" spans="2:4" x14ac:dyDescent="0.2">
      <c r="B852" s="5"/>
      <c r="C852" s="17"/>
      <c r="D852" s="32"/>
    </row>
    <row r="853" spans="2:4" x14ac:dyDescent="0.2">
      <c r="B853" s="5"/>
      <c r="C853" s="17"/>
      <c r="D853" s="32"/>
    </row>
    <row r="854" spans="2:4" x14ac:dyDescent="0.2">
      <c r="B854" s="5"/>
      <c r="C854" s="17"/>
      <c r="D854" s="32"/>
    </row>
    <row r="855" spans="2:4" x14ac:dyDescent="0.2">
      <c r="B855" s="5"/>
      <c r="C855" s="17"/>
      <c r="D855" s="32"/>
    </row>
    <row r="856" spans="2:4" x14ac:dyDescent="0.2">
      <c r="B856" s="5"/>
      <c r="C856" s="17"/>
      <c r="D856" s="32"/>
    </row>
    <row r="857" spans="2:4" x14ac:dyDescent="0.2">
      <c r="B857" s="5"/>
      <c r="C857" s="17"/>
      <c r="D857" s="32"/>
    </row>
    <row r="858" spans="2:4" x14ac:dyDescent="0.2">
      <c r="B858" s="5"/>
      <c r="C858" s="17"/>
      <c r="D858" s="32"/>
    </row>
    <row r="859" spans="2:4" x14ac:dyDescent="0.2">
      <c r="B859" s="5"/>
      <c r="C859" s="17"/>
      <c r="D859" s="32"/>
    </row>
    <row r="860" spans="2:4" x14ac:dyDescent="0.2">
      <c r="B860" s="5"/>
      <c r="C860" s="17"/>
      <c r="D860" s="32"/>
    </row>
    <row r="861" spans="2:4" x14ac:dyDescent="0.2">
      <c r="B861" s="5"/>
      <c r="C861" s="17"/>
      <c r="D861" s="32"/>
    </row>
    <row r="862" spans="2:4" x14ac:dyDescent="0.2">
      <c r="B862" s="5"/>
      <c r="C862" s="17"/>
      <c r="D862" s="32"/>
    </row>
    <row r="863" spans="2:4" x14ac:dyDescent="0.2">
      <c r="B863" s="5"/>
      <c r="C863" s="17"/>
      <c r="D863" s="32"/>
    </row>
    <row r="864" spans="2:4" x14ac:dyDescent="0.2">
      <c r="B864" s="5"/>
      <c r="C864" s="17"/>
      <c r="D864" s="32"/>
    </row>
    <row r="865" spans="2:4" x14ac:dyDescent="0.2">
      <c r="B865" s="5"/>
      <c r="C865" s="17"/>
      <c r="D865" s="32"/>
    </row>
    <row r="866" spans="2:4" x14ac:dyDescent="0.2">
      <c r="B866" s="5"/>
      <c r="C866" s="17"/>
      <c r="D866" s="32"/>
    </row>
    <row r="867" spans="2:4" x14ac:dyDescent="0.2">
      <c r="B867" s="5"/>
      <c r="C867" s="17"/>
      <c r="D867" s="32"/>
    </row>
    <row r="868" spans="2:4" x14ac:dyDescent="0.2">
      <c r="B868" s="5"/>
      <c r="C868" s="17"/>
      <c r="D868" s="32"/>
    </row>
    <row r="869" spans="2:4" x14ac:dyDescent="0.2">
      <c r="B869" s="5"/>
      <c r="C869" s="17"/>
      <c r="D869" s="32"/>
    </row>
    <row r="870" spans="2:4" x14ac:dyDescent="0.2">
      <c r="B870" s="5"/>
      <c r="C870" s="17"/>
      <c r="D870" s="32"/>
    </row>
    <row r="871" spans="2:4" x14ac:dyDescent="0.2">
      <c r="B871" s="5"/>
      <c r="C871" s="17"/>
      <c r="D871" s="32"/>
    </row>
    <row r="872" spans="2:4" x14ac:dyDescent="0.2">
      <c r="B872" s="5"/>
      <c r="C872" s="17"/>
      <c r="D872" s="32"/>
    </row>
    <row r="873" spans="2:4" x14ac:dyDescent="0.2">
      <c r="B873" s="5"/>
      <c r="C873" s="17"/>
      <c r="D873" s="32"/>
    </row>
    <row r="874" spans="2:4" x14ac:dyDescent="0.2">
      <c r="B874" s="5"/>
      <c r="C874" s="17"/>
      <c r="D874" s="32"/>
    </row>
    <row r="875" spans="2:4" x14ac:dyDescent="0.2">
      <c r="B875" s="5"/>
      <c r="C875" s="17"/>
      <c r="D875" s="32"/>
    </row>
    <row r="876" spans="2:4" x14ac:dyDescent="0.2">
      <c r="B876" s="5"/>
      <c r="C876" s="17"/>
      <c r="D876" s="32"/>
    </row>
    <row r="877" spans="2:4" x14ac:dyDescent="0.2">
      <c r="B877" s="5"/>
      <c r="C877" s="17"/>
      <c r="D877" s="32"/>
    </row>
    <row r="878" spans="2:4" x14ac:dyDescent="0.2">
      <c r="B878" s="5"/>
      <c r="C878" s="17"/>
      <c r="D878" s="32"/>
    </row>
    <row r="879" spans="2:4" x14ac:dyDescent="0.2">
      <c r="B879" s="5"/>
      <c r="C879" s="17"/>
      <c r="D879" s="32"/>
    </row>
    <row r="880" spans="2:4" x14ac:dyDescent="0.2">
      <c r="B880" s="5"/>
      <c r="C880" s="17"/>
      <c r="D880" s="32"/>
    </row>
    <row r="881" spans="2:4" x14ac:dyDescent="0.2">
      <c r="B881" s="5"/>
      <c r="C881" s="17"/>
      <c r="D881" s="32"/>
    </row>
    <row r="882" spans="2:4" x14ac:dyDescent="0.2">
      <c r="B882" s="5"/>
      <c r="C882" s="17"/>
      <c r="D882" s="32"/>
    </row>
    <row r="883" spans="2:4" x14ac:dyDescent="0.2">
      <c r="B883" s="5"/>
      <c r="C883" s="17"/>
      <c r="D883" s="32"/>
    </row>
    <row r="884" spans="2:4" x14ac:dyDescent="0.2">
      <c r="B884" s="5"/>
      <c r="C884" s="17"/>
      <c r="D884" s="32"/>
    </row>
    <row r="885" spans="2:4" x14ac:dyDescent="0.2">
      <c r="B885" s="5"/>
      <c r="C885" s="17"/>
      <c r="D885" s="32"/>
    </row>
    <row r="886" spans="2:4" x14ac:dyDescent="0.2">
      <c r="B886" s="5"/>
      <c r="C886" s="17"/>
      <c r="D886" s="32"/>
    </row>
    <row r="887" spans="2:4" x14ac:dyDescent="0.2">
      <c r="B887" s="5"/>
      <c r="C887" s="17"/>
      <c r="D887" s="32"/>
    </row>
    <row r="888" spans="2:4" x14ac:dyDescent="0.2">
      <c r="B888" s="5"/>
      <c r="C888" s="17"/>
      <c r="D888" s="32"/>
    </row>
    <row r="889" spans="2:4" x14ac:dyDescent="0.2">
      <c r="B889" s="5"/>
      <c r="C889" s="17"/>
      <c r="D889" s="32"/>
    </row>
    <row r="890" spans="2:4" x14ac:dyDescent="0.2">
      <c r="B890" s="5"/>
      <c r="C890" s="17"/>
      <c r="D890" s="32"/>
    </row>
    <row r="891" spans="2:4" x14ac:dyDescent="0.2">
      <c r="B891" s="5"/>
      <c r="C891" s="17"/>
      <c r="D891" s="32"/>
    </row>
    <row r="892" spans="2:4" x14ac:dyDescent="0.2">
      <c r="B892" s="5"/>
      <c r="C892" s="17"/>
      <c r="D892" s="32"/>
    </row>
    <row r="893" spans="2:4" x14ac:dyDescent="0.2">
      <c r="B893" s="5"/>
      <c r="C893" s="17"/>
      <c r="D893" s="32"/>
    </row>
    <row r="894" spans="2:4" x14ac:dyDescent="0.2">
      <c r="B894" s="5"/>
      <c r="C894" s="17"/>
      <c r="D894" s="32"/>
    </row>
    <row r="895" spans="2:4" x14ac:dyDescent="0.2">
      <c r="B895" s="5"/>
      <c r="C895" s="17"/>
      <c r="D895" s="32"/>
    </row>
    <row r="896" spans="2:4" x14ac:dyDescent="0.2">
      <c r="B896" s="5"/>
      <c r="C896" s="17"/>
      <c r="D896" s="32"/>
    </row>
    <row r="897" spans="2:4" x14ac:dyDescent="0.2">
      <c r="B897" s="5"/>
      <c r="C897" s="17"/>
      <c r="D897" s="32"/>
    </row>
    <row r="898" spans="2:4" x14ac:dyDescent="0.2">
      <c r="B898" s="5"/>
      <c r="C898" s="17"/>
      <c r="D898" s="32"/>
    </row>
    <row r="899" spans="2:4" x14ac:dyDescent="0.2">
      <c r="B899" s="5"/>
      <c r="C899" s="17"/>
      <c r="D899" s="32"/>
    </row>
    <row r="900" spans="2:4" x14ac:dyDescent="0.2">
      <c r="B900" s="5"/>
      <c r="C900" s="17"/>
      <c r="D900" s="32"/>
    </row>
    <row r="901" spans="2:4" x14ac:dyDescent="0.2">
      <c r="B901" s="5"/>
      <c r="C901" s="17"/>
      <c r="D901" s="32"/>
    </row>
    <row r="902" spans="2:4" x14ac:dyDescent="0.2">
      <c r="B902" s="5"/>
      <c r="C902" s="17"/>
      <c r="D902" s="32"/>
    </row>
    <row r="903" spans="2:4" x14ac:dyDescent="0.2">
      <c r="B903" s="5"/>
      <c r="C903" s="17"/>
      <c r="D903" s="32"/>
    </row>
    <row r="904" spans="2:4" x14ac:dyDescent="0.2">
      <c r="B904" s="5"/>
      <c r="C904" s="17"/>
      <c r="D904" s="32"/>
    </row>
    <row r="905" spans="2:4" x14ac:dyDescent="0.2">
      <c r="B905" s="5"/>
      <c r="C905" s="17"/>
      <c r="D905" s="32"/>
    </row>
    <row r="906" spans="2:4" x14ac:dyDescent="0.2">
      <c r="B906" s="5"/>
      <c r="C906" s="17"/>
      <c r="D906" s="32"/>
    </row>
    <row r="907" spans="2:4" x14ac:dyDescent="0.2">
      <c r="B907" s="5"/>
      <c r="C907" s="17"/>
      <c r="D907" s="32"/>
    </row>
    <row r="908" spans="2:4" x14ac:dyDescent="0.2">
      <c r="B908" s="5"/>
      <c r="C908" s="17"/>
      <c r="D908" s="32"/>
    </row>
    <row r="909" spans="2:4" x14ac:dyDescent="0.2">
      <c r="B909" s="5"/>
      <c r="C909" s="17"/>
      <c r="D909" s="32"/>
    </row>
    <row r="910" spans="2:4" x14ac:dyDescent="0.2">
      <c r="B910" s="5"/>
      <c r="C910" s="17"/>
      <c r="D910" s="32"/>
    </row>
    <row r="911" spans="2:4" x14ac:dyDescent="0.2">
      <c r="B911" s="5"/>
      <c r="C911" s="17"/>
      <c r="D911" s="32"/>
    </row>
    <row r="912" spans="2:4" x14ac:dyDescent="0.2">
      <c r="B912" s="5"/>
      <c r="C912" s="17"/>
      <c r="D912" s="32"/>
    </row>
    <row r="913" spans="2:4" x14ac:dyDescent="0.2">
      <c r="B913" s="5"/>
      <c r="C913" s="17"/>
      <c r="D913" s="32"/>
    </row>
    <row r="914" spans="2:4" x14ac:dyDescent="0.2">
      <c r="B914" s="5"/>
      <c r="C914" s="17"/>
      <c r="D914" s="32"/>
    </row>
    <row r="915" spans="2:4" x14ac:dyDescent="0.2">
      <c r="B915" s="5"/>
      <c r="C915" s="17"/>
      <c r="D915" s="32"/>
    </row>
    <row r="916" spans="2:4" x14ac:dyDescent="0.2">
      <c r="B916" s="5"/>
      <c r="C916" s="17"/>
      <c r="D916" s="32"/>
    </row>
    <row r="917" spans="2:4" x14ac:dyDescent="0.2">
      <c r="B917" s="5"/>
      <c r="C917" s="17"/>
      <c r="D917" s="32"/>
    </row>
    <row r="918" spans="2:4" x14ac:dyDescent="0.2">
      <c r="B918" s="5"/>
      <c r="C918" s="17"/>
      <c r="D918" s="32"/>
    </row>
    <row r="919" spans="2:4" x14ac:dyDescent="0.2">
      <c r="B919" s="5"/>
      <c r="C919" s="17"/>
      <c r="D919" s="32"/>
    </row>
    <row r="920" spans="2:4" x14ac:dyDescent="0.2">
      <c r="B920" s="5"/>
      <c r="C920" s="17"/>
      <c r="D920" s="32"/>
    </row>
    <row r="921" spans="2:4" x14ac:dyDescent="0.2">
      <c r="B921" s="5"/>
      <c r="C921" s="17"/>
      <c r="D921" s="32"/>
    </row>
    <row r="922" spans="2:4" x14ac:dyDescent="0.2">
      <c r="B922" s="5"/>
      <c r="C922" s="17"/>
      <c r="D922" s="32"/>
    </row>
    <row r="923" spans="2:4" x14ac:dyDescent="0.2">
      <c r="B923" s="5"/>
      <c r="C923" s="17"/>
      <c r="D923" s="32"/>
    </row>
    <row r="924" spans="2:4" x14ac:dyDescent="0.2">
      <c r="B924" s="5"/>
      <c r="C924" s="17"/>
      <c r="D924" s="32"/>
    </row>
    <row r="925" spans="2:4" x14ac:dyDescent="0.2">
      <c r="B925" s="5"/>
      <c r="C925" s="17"/>
      <c r="D925" s="32"/>
    </row>
    <row r="926" spans="2:4" x14ac:dyDescent="0.2">
      <c r="B926" s="5"/>
      <c r="C926" s="17"/>
      <c r="D926" s="32"/>
    </row>
    <row r="927" spans="2:4" x14ac:dyDescent="0.2">
      <c r="B927" s="5"/>
      <c r="C927" s="17"/>
      <c r="D927" s="32"/>
    </row>
    <row r="928" spans="2:4" x14ac:dyDescent="0.2">
      <c r="B928" s="5"/>
      <c r="C928" s="17"/>
      <c r="D928" s="32"/>
    </row>
    <row r="929" spans="2:4" x14ac:dyDescent="0.2">
      <c r="B929" s="5"/>
      <c r="C929" s="17"/>
      <c r="D929" s="32"/>
    </row>
    <row r="930" spans="2:4" x14ac:dyDescent="0.2">
      <c r="B930" s="5"/>
      <c r="C930" s="17"/>
      <c r="D930" s="32"/>
    </row>
    <row r="931" spans="2:4" x14ac:dyDescent="0.2">
      <c r="B931" s="5"/>
      <c r="C931" s="17"/>
      <c r="D931" s="32"/>
    </row>
    <row r="932" spans="2:4" x14ac:dyDescent="0.2">
      <c r="B932" s="5"/>
      <c r="C932" s="17"/>
      <c r="D932" s="32"/>
    </row>
    <row r="933" spans="2:4" x14ac:dyDescent="0.2">
      <c r="B933" s="5"/>
      <c r="C933" s="17"/>
      <c r="D933" s="32"/>
    </row>
    <row r="934" spans="2:4" x14ac:dyDescent="0.2">
      <c r="B934" s="5"/>
      <c r="C934" s="17"/>
      <c r="D934" s="32"/>
    </row>
    <row r="935" spans="2:4" x14ac:dyDescent="0.2">
      <c r="B935" s="5"/>
      <c r="C935" s="17"/>
      <c r="D935" s="32"/>
    </row>
    <row r="936" spans="2:4" x14ac:dyDescent="0.2">
      <c r="B936" s="5"/>
      <c r="C936" s="17"/>
      <c r="D936" s="32"/>
    </row>
    <row r="937" spans="2:4" x14ac:dyDescent="0.2">
      <c r="B937" s="5"/>
      <c r="C937" s="17"/>
      <c r="D937" s="32"/>
    </row>
    <row r="938" spans="2:4" x14ac:dyDescent="0.2">
      <c r="B938" s="5"/>
      <c r="C938" s="17"/>
      <c r="D938" s="32"/>
    </row>
    <row r="939" spans="2:4" x14ac:dyDescent="0.2">
      <c r="B939" s="5"/>
      <c r="C939" s="17"/>
      <c r="D939" s="32"/>
    </row>
    <row r="940" spans="2:4" x14ac:dyDescent="0.2">
      <c r="B940" s="5"/>
      <c r="C940" s="17"/>
      <c r="D940" s="32"/>
    </row>
    <row r="941" spans="2:4" x14ac:dyDescent="0.2">
      <c r="B941" s="5"/>
      <c r="C941" s="17"/>
      <c r="D941" s="32"/>
    </row>
    <row r="942" spans="2:4" x14ac:dyDescent="0.2">
      <c r="B942" s="5"/>
      <c r="C942" s="17"/>
      <c r="D942" s="32"/>
    </row>
    <row r="943" spans="2:4" x14ac:dyDescent="0.2">
      <c r="B943" s="5"/>
      <c r="C943" s="17"/>
      <c r="D943" s="32"/>
    </row>
    <row r="944" spans="2:4" x14ac:dyDescent="0.2">
      <c r="B944" s="5"/>
      <c r="C944" s="17"/>
      <c r="D944" s="32"/>
    </row>
    <row r="945" spans="2:4" x14ac:dyDescent="0.2">
      <c r="B945" s="5"/>
      <c r="C945" s="17"/>
      <c r="D945" s="32"/>
    </row>
    <row r="946" spans="2:4" x14ac:dyDescent="0.2">
      <c r="B946" s="5"/>
      <c r="C946" s="17"/>
      <c r="D946" s="32"/>
    </row>
    <row r="947" spans="2:4" x14ac:dyDescent="0.2">
      <c r="B947" s="5"/>
      <c r="C947" s="17"/>
      <c r="D947" s="32"/>
    </row>
    <row r="948" spans="2:4" x14ac:dyDescent="0.2">
      <c r="B948" s="5"/>
      <c r="C948" s="17"/>
      <c r="D948" s="32"/>
    </row>
    <row r="949" spans="2:4" x14ac:dyDescent="0.2">
      <c r="B949" s="5"/>
      <c r="C949" s="17"/>
      <c r="D949" s="32"/>
    </row>
    <row r="950" spans="2:4" x14ac:dyDescent="0.2">
      <c r="B950" s="5"/>
      <c r="C950" s="17"/>
      <c r="D950" s="32"/>
    </row>
    <row r="951" spans="2:4" x14ac:dyDescent="0.2">
      <c r="B951" s="5"/>
      <c r="C951" s="17"/>
      <c r="D951" s="32"/>
    </row>
    <row r="952" spans="2:4" x14ac:dyDescent="0.2">
      <c r="B952" s="5"/>
      <c r="C952" s="17"/>
      <c r="D952" s="32"/>
    </row>
    <row r="953" spans="2:4" x14ac:dyDescent="0.2">
      <c r="B953" s="5"/>
      <c r="C953" s="17"/>
      <c r="D953" s="32"/>
    </row>
    <row r="954" spans="2:4" x14ac:dyDescent="0.2">
      <c r="B954" s="5"/>
      <c r="C954" s="17"/>
      <c r="D954" s="32"/>
    </row>
    <row r="955" spans="2:4" x14ac:dyDescent="0.2">
      <c r="B955" s="5"/>
      <c r="C955" s="17"/>
      <c r="D955" s="32"/>
    </row>
    <row r="956" spans="2:4" x14ac:dyDescent="0.2">
      <c r="B956" s="5"/>
      <c r="C956" s="17"/>
      <c r="D956" s="32"/>
    </row>
    <row r="957" spans="2:4" x14ac:dyDescent="0.2">
      <c r="B957" s="5"/>
      <c r="C957" s="17"/>
      <c r="D957" s="32"/>
    </row>
    <row r="958" spans="2:4" x14ac:dyDescent="0.2">
      <c r="B958" s="5"/>
      <c r="C958" s="17"/>
      <c r="D958" s="32"/>
    </row>
    <row r="959" spans="2:4" x14ac:dyDescent="0.2">
      <c r="B959" s="5"/>
      <c r="C959" s="17"/>
      <c r="D959" s="32"/>
    </row>
    <row r="960" spans="2:4" x14ac:dyDescent="0.2">
      <c r="B960" s="5"/>
      <c r="C960" s="17"/>
      <c r="D960" s="32"/>
    </row>
    <row r="961" spans="2:4" x14ac:dyDescent="0.2">
      <c r="B961" s="5"/>
      <c r="C961" s="17"/>
      <c r="D961" s="32"/>
    </row>
    <row r="962" spans="2:4" x14ac:dyDescent="0.2">
      <c r="B962" s="5"/>
      <c r="C962" s="17"/>
      <c r="D962" s="32"/>
    </row>
    <row r="963" spans="2:4" x14ac:dyDescent="0.2">
      <c r="B963" s="5"/>
      <c r="C963" s="17"/>
      <c r="D963" s="32"/>
    </row>
    <row r="964" spans="2:4" x14ac:dyDescent="0.2">
      <c r="B964" s="5"/>
      <c r="C964" s="17"/>
      <c r="D964" s="32"/>
    </row>
    <row r="965" spans="2:4" x14ac:dyDescent="0.2">
      <c r="B965" s="5"/>
      <c r="C965" s="17"/>
      <c r="D965" s="32"/>
    </row>
    <row r="966" spans="2:4" x14ac:dyDescent="0.2">
      <c r="B966" s="5"/>
      <c r="C966" s="17"/>
      <c r="D966" s="32"/>
    </row>
    <row r="967" spans="2:4" x14ac:dyDescent="0.2">
      <c r="B967" s="5"/>
      <c r="C967" s="17"/>
      <c r="D967" s="32"/>
    </row>
    <row r="968" spans="2:4" x14ac:dyDescent="0.2">
      <c r="B968" s="5"/>
      <c r="C968" s="17"/>
      <c r="D968" s="32"/>
    </row>
    <row r="969" spans="2:4" x14ac:dyDescent="0.2">
      <c r="B969" s="5"/>
      <c r="C969" s="17"/>
      <c r="D969" s="32"/>
    </row>
    <row r="970" spans="2:4" x14ac:dyDescent="0.2">
      <c r="B970" s="5"/>
      <c r="C970" s="17"/>
      <c r="D970" s="32"/>
    </row>
    <row r="971" spans="2:4" x14ac:dyDescent="0.2">
      <c r="B971" s="5"/>
      <c r="C971" s="17"/>
      <c r="D971" s="32"/>
    </row>
    <row r="972" spans="2:4" x14ac:dyDescent="0.2">
      <c r="B972" s="5"/>
      <c r="C972" s="17"/>
      <c r="D972" s="32"/>
    </row>
    <row r="973" spans="2:4" x14ac:dyDescent="0.2">
      <c r="B973" s="5"/>
      <c r="C973" s="17"/>
      <c r="D973" s="32"/>
    </row>
    <row r="974" spans="2:4" x14ac:dyDescent="0.2">
      <c r="B974" s="5"/>
      <c r="C974" s="17"/>
      <c r="D974" s="32"/>
    </row>
    <row r="975" spans="2:4" x14ac:dyDescent="0.2">
      <c r="B975" s="5"/>
      <c r="C975" s="17"/>
      <c r="D975" s="32"/>
    </row>
    <row r="976" spans="2:4" x14ac:dyDescent="0.2">
      <c r="B976" s="5"/>
      <c r="C976" s="17"/>
      <c r="D976" s="32"/>
    </row>
    <row r="977" spans="2:4" x14ac:dyDescent="0.2">
      <c r="B977" s="5"/>
      <c r="C977" s="17"/>
      <c r="D977" s="32"/>
    </row>
    <row r="978" spans="2:4" x14ac:dyDescent="0.2">
      <c r="B978" s="5"/>
      <c r="C978" s="17"/>
      <c r="D978" s="32"/>
    </row>
    <row r="979" spans="2:4" x14ac:dyDescent="0.2">
      <c r="B979" s="5"/>
      <c r="C979" s="17"/>
      <c r="D979" s="32"/>
    </row>
    <row r="980" spans="2:4" x14ac:dyDescent="0.2">
      <c r="B980" s="5"/>
      <c r="C980" s="17"/>
      <c r="D980" s="32"/>
    </row>
    <row r="981" spans="2:4" x14ac:dyDescent="0.2">
      <c r="B981" s="5"/>
      <c r="C981" s="17"/>
      <c r="D981" s="32"/>
    </row>
    <row r="982" spans="2:4" x14ac:dyDescent="0.2">
      <c r="B982" s="5"/>
      <c r="C982" s="17"/>
      <c r="D982" s="32"/>
    </row>
    <row r="983" spans="2:4" x14ac:dyDescent="0.2">
      <c r="B983" s="5"/>
      <c r="C983" s="17"/>
      <c r="D983" s="32"/>
    </row>
    <row r="984" spans="2:4" x14ac:dyDescent="0.2">
      <c r="B984" s="5"/>
      <c r="C984" s="17"/>
      <c r="D984" s="32"/>
    </row>
    <row r="985" spans="2:4" x14ac:dyDescent="0.2">
      <c r="B985" s="5"/>
      <c r="C985" s="17"/>
      <c r="D985" s="32"/>
    </row>
    <row r="986" spans="2:4" x14ac:dyDescent="0.2">
      <c r="B986" s="5"/>
      <c r="C986" s="17"/>
      <c r="D986" s="32"/>
    </row>
    <row r="987" spans="2:4" x14ac:dyDescent="0.2">
      <c r="B987" s="5"/>
      <c r="C987" s="17"/>
      <c r="D987" s="32"/>
    </row>
    <row r="988" spans="2:4" x14ac:dyDescent="0.2">
      <c r="B988" s="5"/>
      <c r="C988" s="17"/>
      <c r="D988" s="32"/>
    </row>
    <row r="989" spans="2:4" x14ac:dyDescent="0.2">
      <c r="B989" s="5"/>
      <c r="C989" s="17"/>
      <c r="D989" s="32"/>
    </row>
    <row r="990" spans="2:4" x14ac:dyDescent="0.2">
      <c r="B990" s="5"/>
      <c r="C990" s="17"/>
      <c r="D990" s="32"/>
    </row>
    <row r="991" spans="2:4" x14ac:dyDescent="0.2">
      <c r="B991" s="5"/>
      <c r="C991" s="17"/>
      <c r="D991" s="32"/>
    </row>
    <row r="992" spans="2:4" x14ac:dyDescent="0.2">
      <c r="B992" s="5"/>
      <c r="C992" s="17"/>
      <c r="D992" s="32"/>
    </row>
    <row r="993" spans="2:4" x14ac:dyDescent="0.2">
      <c r="B993" s="5"/>
      <c r="C993" s="17"/>
      <c r="D993" s="32"/>
    </row>
    <row r="994" spans="2:4" x14ac:dyDescent="0.2">
      <c r="B994" s="5"/>
      <c r="C994" s="17"/>
      <c r="D994" s="32"/>
    </row>
    <row r="995" spans="2:4" x14ac:dyDescent="0.2">
      <c r="B995" s="5"/>
      <c r="C995" s="17"/>
      <c r="D995" s="32"/>
    </row>
    <row r="996" spans="2:4" x14ac:dyDescent="0.2">
      <c r="B996" s="5"/>
      <c r="C996" s="17"/>
      <c r="D996" s="32"/>
    </row>
    <row r="997" spans="2:4" x14ac:dyDescent="0.2">
      <c r="B997" s="5"/>
      <c r="C997" s="17"/>
      <c r="D997" s="32"/>
    </row>
    <row r="998" spans="2:4" x14ac:dyDescent="0.2">
      <c r="B998" s="5"/>
      <c r="C998" s="17"/>
      <c r="D998" s="32"/>
    </row>
    <row r="999" spans="2:4" x14ac:dyDescent="0.2">
      <c r="B999" s="5"/>
      <c r="C999" s="17"/>
      <c r="D999" s="32"/>
    </row>
    <row r="1000" spans="2:4" x14ac:dyDescent="0.2">
      <c r="B1000" s="5"/>
      <c r="C1000" s="17"/>
      <c r="D1000" s="32"/>
    </row>
    <row r="1001" spans="2:4" x14ac:dyDescent="0.2">
      <c r="B1001" s="5"/>
      <c r="C1001" s="17"/>
      <c r="D1001" s="32"/>
    </row>
    <row r="1002" spans="2:4" x14ac:dyDescent="0.2">
      <c r="B1002" s="5"/>
      <c r="C1002" s="17"/>
      <c r="D1002" s="32"/>
    </row>
    <row r="1003" spans="2:4" x14ac:dyDescent="0.2">
      <c r="B1003" s="5"/>
      <c r="C1003" s="17"/>
      <c r="D1003" s="32"/>
    </row>
    <row r="1004" spans="2:4" x14ac:dyDescent="0.2">
      <c r="B1004" s="5"/>
      <c r="C1004" s="17"/>
      <c r="D1004" s="32"/>
    </row>
    <row r="1005" spans="2:4" x14ac:dyDescent="0.2">
      <c r="B1005" s="5"/>
      <c r="C1005" s="17"/>
      <c r="D1005" s="32"/>
    </row>
    <row r="1006" spans="2:4" x14ac:dyDescent="0.2">
      <c r="B1006" s="5"/>
      <c r="C1006" s="17"/>
      <c r="D1006" s="32"/>
    </row>
    <row r="1007" spans="2:4" x14ac:dyDescent="0.2">
      <c r="B1007" s="5"/>
      <c r="C1007" s="17"/>
      <c r="D1007" s="32"/>
    </row>
    <row r="1008" spans="2:4" x14ac:dyDescent="0.2">
      <c r="B1008" s="5"/>
      <c r="C1008" s="17"/>
      <c r="D1008" s="32"/>
    </row>
    <row r="1009" spans="2:4" x14ac:dyDescent="0.2">
      <c r="B1009" s="5"/>
      <c r="C1009" s="17"/>
      <c r="D1009" s="32"/>
    </row>
    <row r="1010" spans="2:4" x14ac:dyDescent="0.2">
      <c r="B1010" s="5"/>
      <c r="C1010" s="17"/>
      <c r="D1010" s="32"/>
    </row>
    <row r="1011" spans="2:4" x14ac:dyDescent="0.2">
      <c r="B1011" s="5"/>
      <c r="C1011" s="17"/>
      <c r="D1011" s="32"/>
    </row>
    <row r="1012" spans="2:4" x14ac:dyDescent="0.2">
      <c r="B1012" s="5"/>
      <c r="C1012" s="17"/>
      <c r="D1012" s="32"/>
    </row>
    <row r="1013" spans="2:4" x14ac:dyDescent="0.2">
      <c r="B1013" s="5"/>
      <c r="C1013" s="17"/>
      <c r="D1013" s="32"/>
    </row>
    <row r="1014" spans="2:4" x14ac:dyDescent="0.2">
      <c r="B1014" s="5"/>
      <c r="C1014" s="17"/>
      <c r="D1014" s="32"/>
    </row>
    <row r="1015" spans="2:4" x14ac:dyDescent="0.2">
      <c r="B1015" s="5"/>
      <c r="C1015" s="17"/>
      <c r="D1015" s="32"/>
    </row>
    <row r="1016" spans="2:4" x14ac:dyDescent="0.2">
      <c r="B1016" s="5"/>
      <c r="C1016" s="17"/>
      <c r="D1016" s="32"/>
    </row>
    <row r="1017" spans="2:4" x14ac:dyDescent="0.2">
      <c r="B1017" s="5"/>
      <c r="C1017" s="17"/>
      <c r="D1017" s="32"/>
    </row>
    <row r="1018" spans="2:4" x14ac:dyDescent="0.2">
      <c r="B1018" s="5"/>
      <c r="C1018" s="17"/>
      <c r="D1018" s="32"/>
    </row>
    <row r="1019" spans="2:4" x14ac:dyDescent="0.2">
      <c r="B1019" s="5"/>
      <c r="C1019" s="17"/>
      <c r="D1019" s="32"/>
    </row>
    <row r="1020" spans="2:4" x14ac:dyDescent="0.2">
      <c r="B1020" s="5"/>
      <c r="C1020" s="17"/>
      <c r="D1020" s="32"/>
    </row>
    <row r="1021" spans="2:4" x14ac:dyDescent="0.2">
      <c r="B1021" s="5"/>
      <c r="C1021" s="17"/>
      <c r="D1021" s="32"/>
    </row>
    <row r="1022" spans="2:4" x14ac:dyDescent="0.2">
      <c r="B1022" s="5"/>
      <c r="C1022" s="17"/>
      <c r="D1022" s="32"/>
    </row>
    <row r="1023" spans="2:4" x14ac:dyDescent="0.2">
      <c r="B1023" s="5"/>
      <c r="C1023" s="17"/>
      <c r="D1023" s="32"/>
    </row>
    <row r="1024" spans="2:4" x14ac:dyDescent="0.2">
      <c r="B1024" s="5"/>
      <c r="C1024" s="17"/>
      <c r="D1024" s="32"/>
    </row>
    <row r="1025" spans="2:4" x14ac:dyDescent="0.2">
      <c r="B1025" s="5"/>
      <c r="C1025" s="17"/>
      <c r="D1025" s="32"/>
    </row>
    <row r="1026" spans="2:4" x14ac:dyDescent="0.2">
      <c r="B1026" s="5"/>
      <c r="C1026" s="17"/>
      <c r="D1026" s="32"/>
    </row>
    <row r="1027" spans="2:4" x14ac:dyDescent="0.2">
      <c r="B1027" s="5"/>
      <c r="C1027" s="17"/>
      <c r="D1027" s="32"/>
    </row>
    <row r="1028" spans="2:4" x14ac:dyDescent="0.2">
      <c r="B1028" s="5"/>
      <c r="C1028" s="17"/>
      <c r="D1028" s="32"/>
    </row>
    <row r="1029" spans="2:4" x14ac:dyDescent="0.2">
      <c r="B1029" s="5"/>
      <c r="C1029" s="17"/>
      <c r="D1029" s="32"/>
    </row>
    <row r="1030" spans="2:4" x14ac:dyDescent="0.2">
      <c r="B1030" s="5"/>
      <c r="C1030" s="17"/>
      <c r="D1030" s="32"/>
    </row>
    <row r="1031" spans="2:4" x14ac:dyDescent="0.2">
      <c r="B1031" s="5"/>
      <c r="C1031" s="17"/>
      <c r="D1031" s="32"/>
    </row>
    <row r="1032" spans="2:4" x14ac:dyDescent="0.2">
      <c r="B1032" s="5"/>
      <c r="C1032" s="17"/>
      <c r="D1032" s="32"/>
    </row>
    <row r="1033" spans="2:4" x14ac:dyDescent="0.2">
      <c r="B1033" s="5"/>
      <c r="C1033" s="17"/>
      <c r="D1033" s="32"/>
    </row>
    <row r="1034" spans="2:4" x14ac:dyDescent="0.2">
      <c r="B1034" s="5"/>
      <c r="C1034" s="17"/>
      <c r="D1034" s="32"/>
    </row>
    <row r="1035" spans="2:4" x14ac:dyDescent="0.2">
      <c r="B1035" s="5"/>
      <c r="C1035" s="17"/>
      <c r="D1035" s="32"/>
    </row>
    <row r="1036" spans="2:4" x14ac:dyDescent="0.2">
      <c r="B1036" s="5"/>
      <c r="C1036" s="17"/>
      <c r="D1036" s="32"/>
    </row>
    <row r="1037" spans="2:4" x14ac:dyDescent="0.2">
      <c r="B1037" s="5"/>
      <c r="C1037" s="17"/>
      <c r="D1037" s="32"/>
    </row>
    <row r="1038" spans="2:4" x14ac:dyDescent="0.2">
      <c r="B1038" s="5"/>
      <c r="C1038" s="17"/>
      <c r="D1038" s="32"/>
    </row>
    <row r="1039" spans="2:4" x14ac:dyDescent="0.2">
      <c r="B1039" s="5"/>
      <c r="C1039" s="17"/>
      <c r="D1039" s="32"/>
    </row>
    <row r="1040" spans="2:4" x14ac:dyDescent="0.2">
      <c r="B1040" s="5"/>
      <c r="C1040" s="17"/>
      <c r="D1040" s="32"/>
    </row>
    <row r="1041" spans="2:4" x14ac:dyDescent="0.2">
      <c r="B1041" s="5"/>
      <c r="C1041" s="17"/>
      <c r="D1041" s="32"/>
    </row>
    <row r="1042" spans="2:4" x14ac:dyDescent="0.2">
      <c r="B1042" s="5"/>
      <c r="C1042" s="17"/>
      <c r="D1042" s="32"/>
    </row>
    <row r="1043" spans="2:4" x14ac:dyDescent="0.2">
      <c r="B1043" s="5"/>
      <c r="C1043" s="17"/>
      <c r="D1043" s="32"/>
    </row>
    <row r="1044" spans="2:4" x14ac:dyDescent="0.2">
      <c r="B1044" s="5"/>
      <c r="C1044" s="17"/>
      <c r="D1044" s="32"/>
    </row>
    <row r="1045" spans="2:4" x14ac:dyDescent="0.2">
      <c r="B1045" s="5"/>
      <c r="C1045" s="17"/>
      <c r="D1045" s="32"/>
    </row>
    <row r="1046" spans="2:4" x14ac:dyDescent="0.2">
      <c r="B1046" s="5"/>
      <c r="C1046" s="17"/>
      <c r="D1046" s="32"/>
    </row>
    <row r="1047" spans="2:4" x14ac:dyDescent="0.2">
      <c r="B1047" s="5"/>
      <c r="C1047" s="17"/>
      <c r="D1047" s="32"/>
    </row>
    <row r="1048" spans="2:4" x14ac:dyDescent="0.2">
      <c r="B1048" s="5"/>
      <c r="C1048" s="17"/>
      <c r="D1048" s="32"/>
    </row>
    <row r="1049" spans="2:4" x14ac:dyDescent="0.2">
      <c r="B1049" s="5"/>
      <c r="C1049" s="17"/>
      <c r="D1049" s="32"/>
    </row>
    <row r="1050" spans="2:4" x14ac:dyDescent="0.2">
      <c r="B1050" s="5"/>
      <c r="C1050" s="17"/>
      <c r="D1050" s="32"/>
    </row>
    <row r="1051" spans="2:4" x14ac:dyDescent="0.2">
      <c r="B1051" s="5"/>
      <c r="C1051" s="17"/>
      <c r="D1051" s="32"/>
    </row>
    <row r="1052" spans="2:4" x14ac:dyDescent="0.2">
      <c r="B1052" s="5"/>
      <c r="C1052" s="17"/>
      <c r="D1052" s="32"/>
    </row>
    <row r="1053" spans="2:4" x14ac:dyDescent="0.2">
      <c r="B1053" s="5"/>
      <c r="C1053" s="17"/>
      <c r="D1053" s="32"/>
    </row>
    <row r="1054" spans="2:4" x14ac:dyDescent="0.2">
      <c r="B1054" s="5"/>
      <c r="C1054" s="17"/>
      <c r="D1054" s="32"/>
    </row>
    <row r="1055" spans="2:4" x14ac:dyDescent="0.2">
      <c r="B1055" s="5"/>
      <c r="C1055" s="17"/>
      <c r="D1055" s="32"/>
    </row>
    <row r="1056" spans="2:4" x14ac:dyDescent="0.2">
      <c r="B1056" s="5"/>
      <c r="C1056" s="17"/>
      <c r="D1056" s="32"/>
    </row>
    <row r="1057" spans="2:4" x14ac:dyDescent="0.2">
      <c r="B1057" s="5"/>
      <c r="C1057" s="17"/>
      <c r="D1057" s="32"/>
    </row>
    <row r="1058" spans="2:4" x14ac:dyDescent="0.2">
      <c r="B1058" s="5"/>
      <c r="C1058" s="17"/>
      <c r="D1058" s="32"/>
    </row>
    <row r="1059" spans="2:4" x14ac:dyDescent="0.2">
      <c r="B1059" s="5"/>
      <c r="C1059" s="17"/>
      <c r="D1059" s="32"/>
    </row>
    <row r="1060" spans="2:4" x14ac:dyDescent="0.2">
      <c r="B1060" s="5"/>
      <c r="C1060" s="17"/>
      <c r="D1060" s="32"/>
    </row>
    <row r="1061" spans="2:4" x14ac:dyDescent="0.2">
      <c r="B1061" s="5"/>
      <c r="C1061" s="17"/>
      <c r="D1061" s="32"/>
    </row>
    <row r="1062" spans="2:4" x14ac:dyDescent="0.2">
      <c r="B1062" s="5"/>
      <c r="C1062" s="17"/>
      <c r="D1062" s="32"/>
    </row>
    <row r="1063" spans="2:4" x14ac:dyDescent="0.2">
      <c r="B1063" s="5"/>
      <c r="C1063" s="17"/>
      <c r="D1063" s="32"/>
    </row>
    <row r="1064" spans="2:4" x14ac:dyDescent="0.2">
      <c r="B1064" s="5"/>
      <c r="C1064" s="17"/>
      <c r="D1064" s="32"/>
    </row>
    <row r="1065" spans="2:4" x14ac:dyDescent="0.2">
      <c r="B1065" s="5"/>
      <c r="C1065" s="17"/>
      <c r="D1065" s="32"/>
    </row>
    <row r="1066" spans="2:4" x14ac:dyDescent="0.2">
      <c r="B1066" s="5"/>
      <c r="C1066" s="17"/>
      <c r="D1066" s="32"/>
    </row>
    <row r="1067" spans="2:4" x14ac:dyDescent="0.2">
      <c r="B1067" s="5"/>
      <c r="C1067" s="17"/>
      <c r="D1067" s="32"/>
    </row>
    <row r="1068" spans="2:4" x14ac:dyDescent="0.2">
      <c r="B1068" s="5"/>
      <c r="C1068" s="17"/>
      <c r="D1068" s="32"/>
    </row>
    <row r="1069" spans="2:4" x14ac:dyDescent="0.2">
      <c r="B1069" s="5"/>
      <c r="C1069" s="17"/>
      <c r="D1069" s="32"/>
    </row>
    <row r="1070" spans="2:4" x14ac:dyDescent="0.2">
      <c r="B1070" s="5"/>
      <c r="C1070" s="17"/>
      <c r="D1070" s="32"/>
    </row>
    <row r="1071" spans="2:4" x14ac:dyDescent="0.2">
      <c r="B1071" s="5"/>
      <c r="C1071" s="17"/>
      <c r="D1071" s="32"/>
    </row>
    <row r="1072" spans="2:4" x14ac:dyDescent="0.2">
      <c r="B1072" s="5"/>
      <c r="C1072" s="17"/>
      <c r="D1072" s="32"/>
    </row>
    <row r="1073" spans="2:4" x14ac:dyDescent="0.2">
      <c r="B1073" s="5"/>
      <c r="C1073" s="17"/>
      <c r="D1073" s="32"/>
    </row>
    <row r="1074" spans="2:4" x14ac:dyDescent="0.2">
      <c r="B1074" s="5"/>
      <c r="C1074" s="17"/>
      <c r="D1074" s="32"/>
    </row>
    <row r="1075" spans="2:4" x14ac:dyDescent="0.2">
      <c r="B1075" s="5"/>
      <c r="C1075" s="17"/>
      <c r="D1075" s="32"/>
    </row>
    <row r="1076" spans="2:4" x14ac:dyDescent="0.2">
      <c r="B1076" s="5"/>
      <c r="C1076" s="17"/>
      <c r="D1076" s="32"/>
    </row>
    <row r="1077" spans="2:4" x14ac:dyDescent="0.2">
      <c r="B1077" s="5"/>
      <c r="C1077" s="17"/>
      <c r="D1077" s="32"/>
    </row>
    <row r="1078" spans="2:4" x14ac:dyDescent="0.2">
      <c r="B1078" s="5"/>
      <c r="C1078" s="17"/>
      <c r="D1078" s="32"/>
    </row>
    <row r="1079" spans="2:4" x14ac:dyDescent="0.2">
      <c r="B1079" s="5"/>
      <c r="C1079" s="17"/>
      <c r="D1079" s="32"/>
    </row>
    <row r="1080" spans="2:4" x14ac:dyDescent="0.2">
      <c r="B1080" s="5"/>
      <c r="C1080" s="17"/>
      <c r="D1080" s="32"/>
    </row>
    <row r="1081" spans="2:4" x14ac:dyDescent="0.2">
      <c r="B1081" s="5"/>
      <c r="C1081" s="17"/>
      <c r="D1081" s="32"/>
    </row>
    <row r="1082" spans="2:4" x14ac:dyDescent="0.2">
      <c r="B1082" s="5"/>
      <c r="C1082" s="17"/>
      <c r="D1082" s="32"/>
    </row>
    <row r="1083" spans="2:4" x14ac:dyDescent="0.2">
      <c r="B1083" s="5"/>
      <c r="C1083" s="17"/>
      <c r="D1083" s="32"/>
    </row>
    <row r="1084" spans="2:4" x14ac:dyDescent="0.2">
      <c r="B1084" s="5"/>
      <c r="C1084" s="17"/>
      <c r="D1084" s="32"/>
    </row>
    <row r="1085" spans="2:4" x14ac:dyDescent="0.2">
      <c r="B1085" s="5"/>
      <c r="C1085" s="17"/>
      <c r="D1085" s="32"/>
    </row>
    <row r="1086" spans="2:4" x14ac:dyDescent="0.2">
      <c r="B1086" s="5"/>
      <c r="C1086" s="17"/>
      <c r="D1086" s="32"/>
    </row>
    <row r="1087" spans="2:4" x14ac:dyDescent="0.2">
      <c r="B1087" s="5"/>
      <c r="C1087" s="17"/>
      <c r="D1087" s="32"/>
    </row>
    <row r="1088" spans="2:4" x14ac:dyDescent="0.2">
      <c r="B1088" s="5"/>
      <c r="C1088" s="17"/>
      <c r="D1088" s="32"/>
    </row>
    <row r="1089" spans="2:4" x14ac:dyDescent="0.2">
      <c r="B1089" s="5"/>
      <c r="C1089" s="17"/>
      <c r="D1089" s="32"/>
    </row>
    <row r="1090" spans="2:4" x14ac:dyDescent="0.2">
      <c r="B1090" s="5"/>
      <c r="C1090" s="17"/>
      <c r="D1090" s="32"/>
    </row>
    <row r="1091" spans="2:4" x14ac:dyDescent="0.2">
      <c r="B1091" s="5"/>
      <c r="C1091" s="17"/>
      <c r="D1091" s="32"/>
    </row>
    <row r="1092" spans="2:4" x14ac:dyDescent="0.2">
      <c r="B1092" s="5"/>
      <c r="C1092" s="17"/>
      <c r="D1092" s="32"/>
    </row>
    <row r="1093" spans="2:4" x14ac:dyDescent="0.2">
      <c r="B1093" s="5"/>
      <c r="C1093" s="17"/>
      <c r="D1093" s="32"/>
    </row>
    <row r="1094" spans="2:4" x14ac:dyDescent="0.2">
      <c r="B1094" s="5"/>
      <c r="C1094" s="17"/>
      <c r="D1094" s="32"/>
    </row>
    <row r="1095" spans="2:4" x14ac:dyDescent="0.2">
      <c r="B1095" s="5"/>
      <c r="C1095" s="17"/>
      <c r="D1095" s="32"/>
    </row>
    <row r="1096" spans="2:4" x14ac:dyDescent="0.2">
      <c r="B1096" s="5"/>
      <c r="C1096" s="17"/>
      <c r="D1096" s="32"/>
    </row>
    <row r="1097" spans="2:4" x14ac:dyDescent="0.2">
      <c r="B1097" s="5"/>
      <c r="C1097" s="17"/>
      <c r="D1097" s="32"/>
    </row>
    <row r="1098" spans="2:4" x14ac:dyDescent="0.2">
      <c r="B1098" s="5"/>
      <c r="C1098" s="17"/>
      <c r="D1098" s="32"/>
    </row>
    <row r="1099" spans="2:4" x14ac:dyDescent="0.2">
      <c r="B1099" s="5"/>
      <c r="C1099" s="17"/>
      <c r="D1099" s="32"/>
    </row>
    <row r="1100" spans="2:4" x14ac:dyDescent="0.2">
      <c r="B1100" s="5"/>
      <c r="C1100" s="17"/>
      <c r="D1100" s="32"/>
    </row>
    <row r="1101" spans="2:4" x14ac:dyDescent="0.2">
      <c r="B1101" s="5"/>
      <c r="C1101" s="17"/>
      <c r="D1101" s="32"/>
    </row>
    <row r="1102" spans="2:4" x14ac:dyDescent="0.2">
      <c r="B1102" s="5"/>
      <c r="C1102" s="17"/>
      <c r="D1102" s="32"/>
    </row>
    <row r="1103" spans="2:4" x14ac:dyDescent="0.2">
      <c r="B1103" s="5"/>
      <c r="C1103" s="17"/>
      <c r="D1103" s="32"/>
    </row>
    <row r="1104" spans="2:4" x14ac:dyDescent="0.2">
      <c r="B1104" s="5"/>
      <c r="C1104" s="17"/>
      <c r="D1104" s="32"/>
    </row>
    <row r="1105" spans="2:4" x14ac:dyDescent="0.2">
      <c r="B1105" s="5"/>
      <c r="C1105" s="17"/>
      <c r="D1105" s="32"/>
    </row>
    <row r="1106" spans="2:4" x14ac:dyDescent="0.2">
      <c r="B1106" s="5"/>
      <c r="C1106" s="17"/>
      <c r="D1106" s="32"/>
    </row>
    <row r="1107" spans="2:4" x14ac:dyDescent="0.2">
      <c r="B1107" s="5"/>
      <c r="C1107" s="17"/>
      <c r="D1107" s="32"/>
    </row>
    <row r="1108" spans="2:4" x14ac:dyDescent="0.2">
      <c r="B1108" s="5"/>
      <c r="C1108" s="17"/>
      <c r="D1108" s="32"/>
    </row>
    <row r="1109" spans="2:4" x14ac:dyDescent="0.2">
      <c r="B1109" s="5"/>
      <c r="C1109" s="17"/>
      <c r="D1109" s="32"/>
    </row>
    <row r="1110" spans="2:4" x14ac:dyDescent="0.2">
      <c r="B1110" s="5"/>
      <c r="C1110" s="17"/>
      <c r="D1110" s="32"/>
    </row>
    <row r="1111" spans="2:4" x14ac:dyDescent="0.2">
      <c r="B1111" s="5"/>
      <c r="C1111" s="17"/>
      <c r="D1111" s="32"/>
    </row>
    <row r="1112" spans="2:4" x14ac:dyDescent="0.2">
      <c r="B1112" s="5"/>
      <c r="C1112" s="17"/>
      <c r="D1112" s="32"/>
    </row>
    <row r="1113" spans="2:4" x14ac:dyDescent="0.2">
      <c r="B1113" s="5"/>
      <c r="C1113" s="17"/>
      <c r="D1113" s="32"/>
    </row>
    <row r="1114" spans="2:4" x14ac:dyDescent="0.2">
      <c r="B1114" s="5"/>
      <c r="C1114" s="17"/>
      <c r="D1114" s="32"/>
    </row>
    <row r="1115" spans="2:4" x14ac:dyDescent="0.2">
      <c r="B1115" s="5"/>
      <c r="C1115" s="17"/>
      <c r="D1115" s="32"/>
    </row>
    <row r="1116" spans="2:4" x14ac:dyDescent="0.2">
      <c r="B1116" s="5"/>
      <c r="C1116" s="17"/>
      <c r="D1116" s="32"/>
    </row>
    <row r="1117" spans="2:4" x14ac:dyDescent="0.2">
      <c r="B1117" s="5"/>
      <c r="C1117" s="17"/>
      <c r="D1117" s="32"/>
    </row>
    <row r="1118" spans="2:4" x14ac:dyDescent="0.2">
      <c r="B1118" s="5"/>
      <c r="C1118" s="17"/>
      <c r="D1118" s="32"/>
    </row>
    <row r="1119" spans="2:4" x14ac:dyDescent="0.2">
      <c r="B1119" s="5"/>
      <c r="C1119" s="17"/>
      <c r="D1119" s="32"/>
    </row>
    <row r="1120" spans="2:4" x14ac:dyDescent="0.2">
      <c r="B1120" s="5"/>
      <c r="C1120" s="17"/>
      <c r="D1120" s="32"/>
    </row>
    <row r="1121" spans="2:4" x14ac:dyDescent="0.2">
      <c r="B1121" s="5"/>
      <c r="C1121" s="17"/>
      <c r="D1121" s="32"/>
    </row>
    <row r="1122" spans="2:4" x14ac:dyDescent="0.2">
      <c r="B1122" s="5"/>
      <c r="C1122" s="17"/>
      <c r="D1122" s="32"/>
    </row>
    <row r="1123" spans="2:4" x14ac:dyDescent="0.2">
      <c r="B1123" s="5"/>
      <c r="C1123" s="17"/>
      <c r="D1123" s="32"/>
    </row>
    <row r="1124" spans="2:4" x14ac:dyDescent="0.2">
      <c r="B1124" s="5"/>
      <c r="C1124" s="17"/>
      <c r="D1124" s="32"/>
    </row>
    <row r="1125" spans="2:4" x14ac:dyDescent="0.2">
      <c r="B1125" s="5"/>
      <c r="C1125" s="17"/>
      <c r="D1125" s="32"/>
    </row>
    <row r="1126" spans="2:4" x14ac:dyDescent="0.2">
      <c r="B1126" s="5"/>
      <c r="C1126" s="17"/>
      <c r="D1126" s="32"/>
    </row>
    <row r="1127" spans="2:4" x14ac:dyDescent="0.2">
      <c r="B1127" s="5"/>
      <c r="C1127" s="17"/>
      <c r="D1127" s="32"/>
    </row>
    <row r="1128" spans="2:4" x14ac:dyDescent="0.2">
      <c r="B1128" s="5"/>
      <c r="C1128" s="17"/>
      <c r="D1128" s="32"/>
    </row>
    <row r="1129" spans="2:4" x14ac:dyDescent="0.2">
      <c r="B1129" s="5"/>
      <c r="C1129" s="17"/>
      <c r="D1129" s="32"/>
    </row>
    <row r="1130" spans="2:4" x14ac:dyDescent="0.2">
      <c r="B1130" s="5"/>
      <c r="C1130" s="17"/>
      <c r="D1130" s="32"/>
    </row>
    <row r="1131" spans="2:4" x14ac:dyDescent="0.2">
      <c r="B1131" s="5"/>
      <c r="C1131" s="17"/>
      <c r="D1131" s="32"/>
    </row>
    <row r="1132" spans="2:4" x14ac:dyDescent="0.2">
      <c r="B1132" s="5"/>
      <c r="C1132" s="17"/>
      <c r="D1132" s="32"/>
    </row>
    <row r="1133" spans="2:4" x14ac:dyDescent="0.2">
      <c r="B1133" s="5"/>
      <c r="C1133" s="17"/>
      <c r="D1133" s="32"/>
    </row>
    <row r="1134" spans="2:4" x14ac:dyDescent="0.2">
      <c r="B1134" s="5"/>
      <c r="C1134" s="17"/>
      <c r="D1134" s="32"/>
    </row>
    <row r="1135" spans="2:4" x14ac:dyDescent="0.2">
      <c r="B1135" s="5"/>
      <c r="C1135" s="17"/>
      <c r="D1135" s="32"/>
    </row>
    <row r="1136" spans="2:4" x14ac:dyDescent="0.2">
      <c r="B1136" s="5"/>
      <c r="C1136" s="17"/>
      <c r="D1136" s="32"/>
    </row>
    <row r="1137" spans="2:4" x14ac:dyDescent="0.2">
      <c r="B1137" s="5"/>
      <c r="C1137" s="17"/>
      <c r="D1137" s="32"/>
    </row>
    <row r="1138" spans="2:4" x14ac:dyDescent="0.2">
      <c r="B1138" s="5"/>
      <c r="C1138" s="17"/>
      <c r="D1138" s="32"/>
    </row>
    <row r="1139" spans="2:4" x14ac:dyDescent="0.2">
      <c r="B1139" s="5"/>
      <c r="C1139" s="17"/>
      <c r="D1139" s="32"/>
    </row>
    <row r="1140" spans="2:4" x14ac:dyDescent="0.2">
      <c r="B1140" s="5"/>
      <c r="C1140" s="17"/>
      <c r="D1140" s="32"/>
    </row>
    <row r="1141" spans="2:4" x14ac:dyDescent="0.2">
      <c r="B1141" s="5"/>
      <c r="C1141" s="17"/>
      <c r="D1141" s="32"/>
    </row>
    <row r="1142" spans="2:4" x14ac:dyDescent="0.2">
      <c r="B1142" s="5"/>
      <c r="C1142" s="17"/>
      <c r="D1142" s="32"/>
    </row>
    <row r="1143" spans="2:4" x14ac:dyDescent="0.2">
      <c r="B1143" s="5"/>
      <c r="C1143" s="17"/>
      <c r="D1143" s="32"/>
    </row>
    <row r="1144" spans="2:4" x14ac:dyDescent="0.2">
      <c r="B1144" s="5"/>
      <c r="C1144" s="17"/>
      <c r="D1144" s="32"/>
    </row>
    <row r="1145" spans="2:4" x14ac:dyDescent="0.2">
      <c r="B1145" s="5"/>
      <c r="C1145" s="17"/>
      <c r="D1145" s="32"/>
    </row>
    <row r="1146" spans="2:4" x14ac:dyDescent="0.2">
      <c r="B1146" s="5"/>
      <c r="C1146" s="17"/>
      <c r="D1146" s="32"/>
    </row>
    <row r="1147" spans="2:4" x14ac:dyDescent="0.2">
      <c r="B1147" s="5"/>
      <c r="C1147" s="17"/>
      <c r="D1147" s="32"/>
    </row>
    <row r="1148" spans="2:4" x14ac:dyDescent="0.2">
      <c r="B1148" s="5"/>
      <c r="C1148" s="17"/>
      <c r="D1148" s="32"/>
    </row>
    <row r="1149" spans="2:4" x14ac:dyDescent="0.2">
      <c r="B1149" s="5"/>
      <c r="C1149" s="17"/>
      <c r="D1149" s="32"/>
    </row>
    <row r="1150" spans="2:4" x14ac:dyDescent="0.2">
      <c r="B1150" s="5"/>
      <c r="C1150" s="17"/>
      <c r="D1150" s="32"/>
    </row>
    <row r="1151" spans="2:4" x14ac:dyDescent="0.2">
      <c r="B1151" s="5"/>
      <c r="C1151" s="17"/>
      <c r="D1151" s="32"/>
    </row>
    <row r="1152" spans="2:4" x14ac:dyDescent="0.2">
      <c r="B1152" s="5"/>
      <c r="C1152" s="17"/>
      <c r="D1152" s="32"/>
    </row>
    <row r="1153" spans="2:4" x14ac:dyDescent="0.2">
      <c r="B1153" s="5"/>
      <c r="C1153" s="17"/>
      <c r="D1153" s="32"/>
    </row>
    <row r="1154" spans="2:4" x14ac:dyDescent="0.2">
      <c r="B1154" s="5"/>
      <c r="C1154" s="17"/>
      <c r="D1154" s="32"/>
    </row>
    <row r="1155" spans="2:4" x14ac:dyDescent="0.2">
      <c r="B1155" s="5"/>
      <c r="C1155" s="17"/>
      <c r="D1155" s="32"/>
    </row>
    <row r="1156" spans="2:4" x14ac:dyDescent="0.2">
      <c r="B1156" s="5"/>
      <c r="C1156" s="17"/>
      <c r="D1156" s="32"/>
    </row>
    <row r="1157" spans="2:4" x14ac:dyDescent="0.2">
      <c r="B1157" s="5"/>
      <c r="C1157" s="17"/>
      <c r="D1157" s="32"/>
    </row>
    <row r="1158" spans="2:4" x14ac:dyDescent="0.2">
      <c r="B1158" s="5"/>
      <c r="C1158" s="17"/>
      <c r="D1158" s="32"/>
    </row>
    <row r="1159" spans="2:4" x14ac:dyDescent="0.2">
      <c r="B1159" s="5"/>
      <c r="C1159" s="17"/>
      <c r="D1159" s="32"/>
    </row>
    <row r="1160" spans="2:4" x14ac:dyDescent="0.2">
      <c r="B1160" s="5"/>
      <c r="C1160" s="17"/>
      <c r="D1160" s="32"/>
    </row>
    <row r="1161" spans="2:4" x14ac:dyDescent="0.2">
      <c r="B1161" s="5"/>
      <c r="C1161" s="17"/>
      <c r="D1161" s="32"/>
    </row>
    <row r="1162" spans="2:4" x14ac:dyDescent="0.2">
      <c r="B1162" s="5"/>
      <c r="C1162" s="17"/>
      <c r="D1162" s="32"/>
    </row>
    <row r="1163" spans="2:4" x14ac:dyDescent="0.2">
      <c r="B1163" s="5"/>
      <c r="C1163" s="17"/>
      <c r="D1163" s="32"/>
    </row>
    <row r="1164" spans="2:4" x14ac:dyDescent="0.2">
      <c r="B1164" s="5"/>
      <c r="C1164" s="17"/>
      <c r="D1164" s="32"/>
    </row>
    <row r="1165" spans="2:4" x14ac:dyDescent="0.2">
      <c r="B1165" s="5"/>
      <c r="C1165" s="17"/>
      <c r="D1165" s="32"/>
    </row>
    <row r="1166" spans="2:4" x14ac:dyDescent="0.2">
      <c r="B1166" s="5"/>
      <c r="C1166" s="17"/>
      <c r="D1166" s="32"/>
    </row>
    <row r="1167" spans="2:4" x14ac:dyDescent="0.2">
      <c r="B1167" s="5"/>
      <c r="C1167" s="17"/>
      <c r="D1167" s="32"/>
    </row>
    <row r="1168" spans="2:4" x14ac:dyDescent="0.2">
      <c r="B1168" s="5"/>
      <c r="C1168" s="17"/>
      <c r="D1168" s="32"/>
    </row>
    <row r="1169" spans="2:4" x14ac:dyDescent="0.2">
      <c r="B1169" s="5"/>
      <c r="C1169" s="17"/>
      <c r="D1169" s="32"/>
    </row>
    <row r="1170" spans="2:4" x14ac:dyDescent="0.2">
      <c r="B1170" s="5"/>
      <c r="C1170" s="17"/>
      <c r="D1170" s="32"/>
    </row>
    <row r="1171" spans="2:4" x14ac:dyDescent="0.2">
      <c r="B1171" s="5"/>
      <c r="C1171" s="17"/>
      <c r="D1171" s="32"/>
    </row>
    <row r="1172" spans="2:4" x14ac:dyDescent="0.2">
      <c r="B1172" s="5"/>
      <c r="C1172" s="17"/>
      <c r="D1172" s="32"/>
    </row>
    <row r="1173" spans="2:4" x14ac:dyDescent="0.2">
      <c r="B1173" s="5"/>
      <c r="C1173" s="17"/>
      <c r="D1173" s="32"/>
    </row>
    <row r="1174" spans="2:4" x14ac:dyDescent="0.2">
      <c r="B1174" s="5"/>
      <c r="C1174" s="17"/>
      <c r="D1174" s="32"/>
    </row>
    <row r="1175" spans="2:4" x14ac:dyDescent="0.2">
      <c r="B1175" s="5"/>
      <c r="C1175" s="17"/>
      <c r="D1175" s="32"/>
    </row>
    <row r="1176" spans="2:4" x14ac:dyDescent="0.2">
      <c r="B1176" s="5"/>
      <c r="C1176" s="17"/>
      <c r="D1176" s="32"/>
    </row>
    <row r="1177" spans="2:4" x14ac:dyDescent="0.2">
      <c r="B1177" s="5"/>
      <c r="C1177" s="17"/>
      <c r="D1177" s="32"/>
    </row>
    <row r="1178" spans="2:4" x14ac:dyDescent="0.2">
      <c r="B1178" s="5"/>
      <c r="C1178" s="17"/>
      <c r="D1178" s="32"/>
    </row>
    <row r="1179" spans="2:4" x14ac:dyDescent="0.2">
      <c r="B1179" s="5"/>
      <c r="C1179" s="17"/>
      <c r="D1179" s="32"/>
    </row>
    <row r="1180" spans="2:4" x14ac:dyDescent="0.2">
      <c r="B1180" s="5"/>
      <c r="C1180" s="17"/>
      <c r="D1180" s="32"/>
    </row>
    <row r="1181" spans="2:4" x14ac:dyDescent="0.2">
      <c r="B1181" s="5"/>
      <c r="C1181" s="17"/>
      <c r="D1181" s="32"/>
    </row>
    <row r="1182" spans="2:4" x14ac:dyDescent="0.2">
      <c r="B1182" s="5"/>
      <c r="C1182" s="17"/>
      <c r="D1182" s="32"/>
    </row>
    <row r="1183" spans="2:4" x14ac:dyDescent="0.2">
      <c r="B1183" s="5"/>
      <c r="C1183" s="17"/>
      <c r="D1183" s="32"/>
    </row>
    <row r="1184" spans="2:4" x14ac:dyDescent="0.2">
      <c r="B1184" s="5"/>
      <c r="C1184" s="17"/>
      <c r="D1184" s="32"/>
    </row>
    <row r="1185" spans="2:4" x14ac:dyDescent="0.2">
      <c r="B1185" s="5"/>
      <c r="C1185" s="17"/>
      <c r="D1185" s="32"/>
    </row>
    <row r="1186" spans="2:4" x14ac:dyDescent="0.2">
      <c r="B1186" s="5"/>
      <c r="C1186" s="17"/>
      <c r="D1186" s="32"/>
    </row>
    <row r="1187" spans="2:4" x14ac:dyDescent="0.2">
      <c r="B1187" s="5"/>
      <c r="C1187" s="17"/>
      <c r="D1187" s="32"/>
    </row>
    <row r="1188" spans="2:4" x14ac:dyDescent="0.2">
      <c r="B1188" s="5"/>
      <c r="C1188" s="17"/>
      <c r="D1188" s="32"/>
    </row>
    <row r="1189" spans="2:4" x14ac:dyDescent="0.2">
      <c r="B1189" s="5"/>
      <c r="C1189" s="17"/>
      <c r="D1189" s="32"/>
    </row>
    <row r="1190" spans="2:4" x14ac:dyDescent="0.2">
      <c r="B1190" s="5"/>
      <c r="C1190" s="17"/>
      <c r="D1190" s="32"/>
    </row>
    <row r="1191" spans="2:4" x14ac:dyDescent="0.2">
      <c r="B1191" s="5"/>
      <c r="C1191" s="17"/>
      <c r="D1191" s="32"/>
    </row>
    <row r="1192" spans="2:4" x14ac:dyDescent="0.2">
      <c r="B1192" s="5"/>
      <c r="C1192" s="17"/>
      <c r="D1192" s="32"/>
    </row>
    <row r="1193" spans="2:4" x14ac:dyDescent="0.2">
      <c r="B1193" s="5"/>
      <c r="C1193" s="17"/>
      <c r="D1193" s="32"/>
    </row>
    <row r="1194" spans="2:4" x14ac:dyDescent="0.2">
      <c r="B1194" s="5"/>
      <c r="C1194" s="17"/>
      <c r="D1194" s="32"/>
    </row>
    <row r="1195" spans="2:4" x14ac:dyDescent="0.2">
      <c r="B1195" s="5"/>
      <c r="C1195" s="17"/>
      <c r="D1195" s="32"/>
    </row>
    <row r="1196" spans="2:4" x14ac:dyDescent="0.2">
      <c r="B1196" s="5"/>
      <c r="C1196" s="17"/>
      <c r="D1196" s="32"/>
    </row>
    <row r="1197" spans="2:4" x14ac:dyDescent="0.2">
      <c r="B1197" s="5"/>
      <c r="C1197" s="17"/>
      <c r="D1197" s="32"/>
    </row>
    <row r="1198" spans="2:4" x14ac:dyDescent="0.2">
      <c r="B1198" s="5"/>
      <c r="C1198" s="17"/>
      <c r="D1198" s="32"/>
    </row>
    <row r="1199" spans="2:4" x14ac:dyDescent="0.2">
      <c r="B1199" s="5"/>
      <c r="C1199" s="17"/>
      <c r="D1199" s="32"/>
    </row>
    <row r="1200" spans="2:4" x14ac:dyDescent="0.2">
      <c r="B1200" s="5"/>
      <c r="C1200" s="17"/>
      <c r="D1200" s="32"/>
    </row>
    <row r="1201" spans="2:4" x14ac:dyDescent="0.2">
      <c r="B1201" s="5"/>
      <c r="C1201" s="17"/>
      <c r="D1201" s="32"/>
    </row>
    <row r="1202" spans="2:4" x14ac:dyDescent="0.2">
      <c r="B1202" s="5"/>
      <c r="C1202" s="17"/>
      <c r="D1202" s="32"/>
    </row>
    <row r="1203" spans="2:4" x14ac:dyDescent="0.2">
      <c r="B1203" s="5"/>
      <c r="C1203" s="17"/>
      <c r="D1203" s="32"/>
    </row>
    <row r="1204" spans="2:4" x14ac:dyDescent="0.2">
      <c r="B1204" s="5"/>
      <c r="C1204" s="17"/>
      <c r="D1204" s="32"/>
    </row>
    <row r="1205" spans="2:4" x14ac:dyDescent="0.2">
      <c r="B1205" s="5"/>
      <c r="C1205" s="17"/>
      <c r="D1205" s="32"/>
    </row>
    <row r="1206" spans="2:4" x14ac:dyDescent="0.2">
      <c r="B1206" s="5"/>
      <c r="C1206" s="17"/>
      <c r="D1206" s="32"/>
    </row>
    <row r="1207" spans="2:4" x14ac:dyDescent="0.2">
      <c r="B1207" s="5"/>
      <c r="C1207" s="17"/>
      <c r="D1207" s="32"/>
    </row>
    <row r="1208" spans="2:4" x14ac:dyDescent="0.2">
      <c r="B1208" s="5"/>
      <c r="C1208" s="17"/>
      <c r="D1208" s="32"/>
    </row>
    <row r="1209" spans="2:4" x14ac:dyDescent="0.2">
      <c r="B1209" s="5"/>
      <c r="C1209" s="17"/>
      <c r="D1209" s="32"/>
    </row>
    <row r="1210" spans="2:4" x14ac:dyDescent="0.2">
      <c r="B1210" s="5"/>
      <c r="C1210" s="17"/>
      <c r="D1210" s="32"/>
    </row>
    <row r="1211" spans="2:4" x14ac:dyDescent="0.2">
      <c r="B1211" s="5"/>
      <c r="C1211" s="17"/>
      <c r="D1211" s="32"/>
    </row>
    <row r="1212" spans="2:4" x14ac:dyDescent="0.2">
      <c r="B1212" s="5"/>
      <c r="C1212" s="17"/>
      <c r="D1212" s="32"/>
    </row>
    <row r="1213" spans="2:4" x14ac:dyDescent="0.2">
      <c r="B1213" s="5"/>
      <c r="C1213" s="17"/>
      <c r="D1213" s="32"/>
    </row>
    <row r="1214" spans="2:4" x14ac:dyDescent="0.2">
      <c r="B1214" s="5"/>
      <c r="C1214" s="17"/>
      <c r="D1214" s="32"/>
    </row>
    <row r="1215" spans="2:4" x14ac:dyDescent="0.2">
      <c r="B1215" s="5"/>
      <c r="C1215" s="17"/>
      <c r="D1215" s="32"/>
    </row>
    <row r="1216" spans="2:4" x14ac:dyDescent="0.2">
      <c r="B1216" s="5"/>
      <c r="C1216" s="17"/>
      <c r="D1216" s="32"/>
    </row>
    <row r="1217" spans="2:4" x14ac:dyDescent="0.2">
      <c r="B1217" s="5"/>
      <c r="C1217" s="17"/>
      <c r="D1217" s="32"/>
    </row>
    <row r="1218" spans="2:4" x14ac:dyDescent="0.2">
      <c r="B1218" s="5"/>
      <c r="C1218" s="17"/>
      <c r="D1218" s="32"/>
    </row>
    <row r="1219" spans="2:4" x14ac:dyDescent="0.2">
      <c r="B1219" s="5"/>
      <c r="C1219" s="17"/>
      <c r="D1219" s="32"/>
    </row>
    <row r="1220" spans="2:4" x14ac:dyDescent="0.2">
      <c r="B1220" s="5"/>
      <c r="C1220" s="17"/>
      <c r="D1220" s="32"/>
    </row>
    <row r="1221" spans="2:4" x14ac:dyDescent="0.2">
      <c r="B1221" s="5"/>
      <c r="C1221" s="17"/>
      <c r="D1221" s="32"/>
    </row>
    <row r="1222" spans="2:4" x14ac:dyDescent="0.2">
      <c r="B1222" s="5"/>
      <c r="C1222" s="17"/>
      <c r="D1222" s="32"/>
    </row>
    <row r="1223" spans="2:4" x14ac:dyDescent="0.2">
      <c r="B1223" s="5"/>
      <c r="C1223" s="17"/>
      <c r="D1223" s="32"/>
    </row>
    <row r="1224" spans="2:4" x14ac:dyDescent="0.2">
      <c r="B1224" s="5"/>
      <c r="C1224" s="17"/>
      <c r="D1224" s="32"/>
    </row>
    <row r="1225" spans="2:4" x14ac:dyDescent="0.2">
      <c r="B1225" s="5"/>
      <c r="C1225" s="17"/>
      <c r="D1225" s="32"/>
    </row>
    <row r="1226" spans="2:4" x14ac:dyDescent="0.2">
      <c r="B1226" s="5"/>
      <c r="C1226" s="17"/>
      <c r="D1226" s="32"/>
    </row>
    <row r="1227" spans="2:4" x14ac:dyDescent="0.2">
      <c r="B1227" s="5"/>
      <c r="C1227" s="17"/>
      <c r="D1227" s="32"/>
    </row>
    <row r="1228" spans="2:4" x14ac:dyDescent="0.2">
      <c r="B1228" s="5"/>
      <c r="C1228" s="17"/>
      <c r="D1228" s="32"/>
    </row>
    <row r="1229" spans="2:4" x14ac:dyDescent="0.2">
      <c r="B1229" s="5"/>
      <c r="C1229" s="17"/>
      <c r="D1229" s="32"/>
    </row>
    <row r="1230" spans="2:4" x14ac:dyDescent="0.2">
      <c r="B1230" s="5"/>
      <c r="C1230" s="17"/>
      <c r="D1230" s="32"/>
    </row>
    <row r="1231" spans="2:4" x14ac:dyDescent="0.2">
      <c r="B1231" s="5"/>
      <c r="C1231" s="17"/>
      <c r="D1231" s="32"/>
    </row>
    <row r="1232" spans="2:4" x14ac:dyDescent="0.2">
      <c r="B1232" s="5"/>
      <c r="C1232" s="17"/>
      <c r="D1232" s="32"/>
    </row>
    <row r="1233" spans="2:4" x14ac:dyDescent="0.2">
      <c r="B1233" s="5"/>
      <c r="C1233" s="17"/>
      <c r="D1233" s="32"/>
    </row>
    <row r="1234" spans="2:4" x14ac:dyDescent="0.2">
      <c r="B1234" s="5"/>
      <c r="C1234" s="17"/>
      <c r="D1234" s="32"/>
    </row>
    <row r="1235" spans="2:4" x14ac:dyDescent="0.2">
      <c r="B1235" s="5"/>
      <c r="C1235" s="17"/>
      <c r="D1235" s="32"/>
    </row>
    <row r="1236" spans="2:4" x14ac:dyDescent="0.2">
      <c r="B1236" s="5"/>
      <c r="C1236" s="17"/>
      <c r="D1236" s="32"/>
    </row>
    <row r="1237" spans="2:4" x14ac:dyDescent="0.2">
      <c r="B1237" s="5"/>
      <c r="C1237" s="17"/>
      <c r="D1237" s="32"/>
    </row>
    <row r="1238" spans="2:4" x14ac:dyDescent="0.2">
      <c r="B1238" s="5"/>
      <c r="C1238" s="17"/>
      <c r="D1238" s="32"/>
    </row>
    <row r="1239" spans="2:4" x14ac:dyDescent="0.2">
      <c r="B1239" s="5"/>
      <c r="C1239" s="17"/>
      <c r="D1239" s="32"/>
    </row>
    <row r="1240" spans="2:4" x14ac:dyDescent="0.2">
      <c r="B1240" s="5"/>
      <c r="C1240" s="17"/>
      <c r="D1240" s="32"/>
    </row>
    <row r="1241" spans="2:4" x14ac:dyDescent="0.2">
      <c r="B1241" s="5"/>
      <c r="C1241" s="17"/>
      <c r="D1241" s="32"/>
    </row>
    <row r="1242" spans="2:4" x14ac:dyDescent="0.2">
      <c r="B1242" s="5"/>
      <c r="C1242" s="17"/>
      <c r="D1242" s="32"/>
    </row>
    <row r="1243" spans="2:4" x14ac:dyDescent="0.2">
      <c r="B1243" s="5"/>
      <c r="C1243" s="17"/>
      <c r="D1243" s="32"/>
    </row>
    <row r="1244" spans="2:4" x14ac:dyDescent="0.2">
      <c r="B1244" s="5"/>
      <c r="C1244" s="17"/>
      <c r="D1244" s="32"/>
    </row>
    <row r="1245" spans="2:4" x14ac:dyDescent="0.2">
      <c r="B1245" s="5"/>
      <c r="C1245" s="17"/>
      <c r="D1245" s="32"/>
    </row>
    <row r="1246" spans="2:4" x14ac:dyDescent="0.2">
      <c r="B1246" s="5"/>
      <c r="C1246" s="17"/>
      <c r="D1246" s="32"/>
    </row>
    <row r="1247" spans="2:4" x14ac:dyDescent="0.2">
      <c r="B1247" s="5"/>
      <c r="C1247" s="17"/>
      <c r="D1247" s="32"/>
    </row>
    <row r="1248" spans="2:4" x14ac:dyDescent="0.2">
      <c r="B1248" s="5"/>
      <c r="C1248" s="17"/>
      <c r="D1248" s="32"/>
    </row>
    <row r="1249" spans="2:4" x14ac:dyDescent="0.2">
      <c r="B1249" s="5"/>
      <c r="C1249" s="17"/>
      <c r="D1249" s="32"/>
    </row>
    <row r="1250" spans="2:4" x14ac:dyDescent="0.2">
      <c r="B1250" s="5"/>
      <c r="C1250" s="17"/>
      <c r="D1250" s="32"/>
    </row>
    <row r="1251" spans="2:4" x14ac:dyDescent="0.2">
      <c r="B1251" s="5"/>
      <c r="C1251" s="17"/>
      <c r="D1251" s="32"/>
    </row>
    <row r="1252" spans="2:4" x14ac:dyDescent="0.2">
      <c r="B1252" s="5"/>
      <c r="C1252" s="17"/>
      <c r="D1252" s="32"/>
    </row>
    <row r="1253" spans="2:4" x14ac:dyDescent="0.2">
      <c r="B1253" s="5"/>
      <c r="C1253" s="17"/>
      <c r="D1253" s="32"/>
    </row>
    <row r="1254" spans="2:4" x14ac:dyDescent="0.2">
      <c r="B1254" s="5"/>
      <c r="C1254" s="17"/>
      <c r="D1254" s="32"/>
    </row>
    <row r="1255" spans="2:4" x14ac:dyDescent="0.2">
      <c r="B1255" s="5"/>
      <c r="C1255" s="17"/>
      <c r="D1255" s="32"/>
    </row>
    <row r="1256" spans="2:4" x14ac:dyDescent="0.2">
      <c r="B1256" s="5"/>
      <c r="C1256" s="17"/>
      <c r="D1256" s="32"/>
    </row>
    <row r="1257" spans="2:4" x14ac:dyDescent="0.2">
      <c r="B1257" s="5"/>
      <c r="C1257" s="17"/>
      <c r="D1257" s="32"/>
    </row>
    <row r="1258" spans="2:4" x14ac:dyDescent="0.2">
      <c r="B1258" s="5"/>
      <c r="C1258" s="17"/>
      <c r="D1258" s="32"/>
    </row>
    <row r="1259" spans="2:4" x14ac:dyDescent="0.2">
      <c r="B1259" s="5"/>
      <c r="C1259" s="17"/>
      <c r="D1259" s="32"/>
    </row>
    <row r="1260" spans="2:4" x14ac:dyDescent="0.2">
      <c r="B1260" s="5"/>
      <c r="C1260" s="17"/>
      <c r="D1260" s="32"/>
    </row>
    <row r="1261" spans="2:4" x14ac:dyDescent="0.2">
      <c r="B1261" s="5"/>
      <c r="C1261" s="17"/>
      <c r="D1261" s="32"/>
    </row>
    <row r="1262" spans="2:4" x14ac:dyDescent="0.2">
      <c r="B1262" s="5"/>
      <c r="C1262" s="17"/>
      <c r="D1262" s="32"/>
    </row>
    <row r="1263" spans="2:4" x14ac:dyDescent="0.2">
      <c r="B1263" s="5"/>
      <c r="C1263" s="17"/>
      <c r="D1263" s="32"/>
    </row>
    <row r="1264" spans="2:4" x14ac:dyDescent="0.2">
      <c r="B1264" s="5"/>
      <c r="C1264" s="17"/>
      <c r="D1264" s="32"/>
    </row>
    <row r="1265" spans="2:4" x14ac:dyDescent="0.2">
      <c r="B1265" s="5"/>
      <c r="C1265" s="17"/>
      <c r="D1265" s="32"/>
    </row>
    <row r="1266" spans="2:4" x14ac:dyDescent="0.2">
      <c r="B1266" s="5"/>
      <c r="C1266" s="17"/>
      <c r="D1266" s="32"/>
    </row>
    <row r="1267" spans="2:4" x14ac:dyDescent="0.2">
      <c r="B1267" s="5"/>
      <c r="C1267" s="17"/>
      <c r="D1267" s="32"/>
    </row>
    <row r="1268" spans="2:4" x14ac:dyDescent="0.2">
      <c r="B1268" s="5"/>
      <c r="C1268" s="17"/>
      <c r="D1268" s="32"/>
    </row>
    <row r="1269" spans="2:4" x14ac:dyDescent="0.2">
      <c r="B1269" s="5"/>
      <c r="C1269" s="17"/>
      <c r="D1269" s="32"/>
    </row>
    <row r="1270" spans="2:4" x14ac:dyDescent="0.2">
      <c r="B1270" s="5"/>
      <c r="C1270" s="17"/>
      <c r="D1270" s="32"/>
    </row>
    <row r="1271" spans="2:4" x14ac:dyDescent="0.2">
      <c r="B1271" s="5"/>
      <c r="C1271" s="17"/>
      <c r="D1271" s="32"/>
    </row>
    <row r="1272" spans="2:4" x14ac:dyDescent="0.2">
      <c r="B1272" s="5"/>
      <c r="C1272" s="17"/>
      <c r="D1272" s="32"/>
    </row>
    <row r="1273" spans="2:4" x14ac:dyDescent="0.2">
      <c r="B1273" s="5"/>
      <c r="C1273" s="17"/>
      <c r="D1273" s="32"/>
    </row>
    <row r="1274" spans="2:4" x14ac:dyDescent="0.2">
      <c r="B1274" s="5"/>
      <c r="C1274" s="17"/>
      <c r="D1274" s="32"/>
    </row>
    <row r="1275" spans="2:4" x14ac:dyDescent="0.2">
      <c r="B1275" s="5"/>
      <c r="C1275" s="17"/>
      <c r="D1275" s="32"/>
    </row>
    <row r="1276" spans="2:4" x14ac:dyDescent="0.2">
      <c r="B1276" s="5"/>
      <c r="C1276" s="17"/>
      <c r="D1276" s="32"/>
    </row>
    <row r="1277" spans="2:4" x14ac:dyDescent="0.2">
      <c r="B1277" s="5"/>
      <c r="C1277" s="17"/>
      <c r="D1277" s="32"/>
    </row>
    <row r="1278" spans="2:4" x14ac:dyDescent="0.2">
      <c r="B1278" s="5"/>
      <c r="C1278" s="17"/>
      <c r="D1278" s="32"/>
    </row>
    <row r="1279" spans="2:4" x14ac:dyDescent="0.2">
      <c r="B1279" s="5"/>
      <c r="C1279" s="17"/>
      <c r="D1279" s="32"/>
    </row>
    <row r="1280" spans="2:4" x14ac:dyDescent="0.2">
      <c r="B1280" s="5"/>
      <c r="C1280" s="17"/>
      <c r="D1280" s="32"/>
    </row>
    <row r="1281" spans="2:4" x14ac:dyDescent="0.2">
      <c r="B1281" s="5"/>
      <c r="C1281" s="17"/>
      <c r="D1281" s="32"/>
    </row>
    <row r="1282" spans="2:4" x14ac:dyDescent="0.2">
      <c r="B1282" s="5"/>
      <c r="C1282" s="17"/>
      <c r="D1282" s="32"/>
    </row>
    <row r="1283" spans="2:4" x14ac:dyDescent="0.2">
      <c r="B1283" s="5"/>
      <c r="C1283" s="17"/>
      <c r="D1283" s="32"/>
    </row>
    <row r="1284" spans="2:4" x14ac:dyDescent="0.2">
      <c r="B1284" s="5"/>
      <c r="C1284" s="17"/>
      <c r="D1284" s="32"/>
    </row>
    <row r="1285" spans="2:4" x14ac:dyDescent="0.2">
      <c r="B1285" s="5"/>
      <c r="C1285" s="17"/>
      <c r="D1285" s="32"/>
    </row>
    <row r="1286" spans="2:4" x14ac:dyDescent="0.2">
      <c r="B1286" s="5"/>
      <c r="C1286" s="17"/>
      <c r="D1286" s="32"/>
    </row>
    <row r="1287" spans="2:4" x14ac:dyDescent="0.2">
      <c r="B1287" s="5"/>
      <c r="C1287" s="17"/>
      <c r="D1287" s="32"/>
    </row>
    <row r="1288" spans="2:4" x14ac:dyDescent="0.2">
      <c r="B1288" s="5"/>
      <c r="C1288" s="17"/>
      <c r="D1288" s="32"/>
    </row>
    <row r="1289" spans="2:4" x14ac:dyDescent="0.2">
      <c r="B1289" s="5"/>
      <c r="C1289" s="17"/>
      <c r="D1289" s="32"/>
    </row>
    <row r="1290" spans="2:4" x14ac:dyDescent="0.2">
      <c r="B1290" s="5"/>
      <c r="C1290" s="17"/>
      <c r="D1290" s="32"/>
    </row>
    <row r="1291" spans="2:4" x14ac:dyDescent="0.2">
      <c r="B1291" s="5"/>
      <c r="C1291" s="17"/>
      <c r="D1291" s="32"/>
    </row>
    <row r="1292" spans="2:4" x14ac:dyDescent="0.2">
      <c r="B1292" s="5"/>
      <c r="C1292" s="17"/>
      <c r="D1292" s="32"/>
    </row>
    <row r="1293" spans="2:4" x14ac:dyDescent="0.2">
      <c r="B1293" s="5"/>
      <c r="C1293" s="17"/>
      <c r="D1293" s="32"/>
    </row>
    <row r="1294" spans="2:4" x14ac:dyDescent="0.2">
      <c r="B1294" s="5"/>
      <c r="C1294" s="17"/>
      <c r="D1294" s="32"/>
    </row>
    <row r="1295" spans="2:4" x14ac:dyDescent="0.2">
      <c r="B1295" s="5"/>
      <c r="C1295" s="17"/>
      <c r="D1295" s="32"/>
    </row>
    <row r="1296" spans="2:4" x14ac:dyDescent="0.2">
      <c r="B1296" s="5"/>
      <c r="C1296" s="17"/>
      <c r="D1296" s="32"/>
    </row>
    <row r="1297" spans="2:4" x14ac:dyDescent="0.2">
      <c r="B1297" s="5"/>
      <c r="C1297" s="17"/>
      <c r="D1297" s="32"/>
    </row>
    <row r="1298" spans="2:4" x14ac:dyDescent="0.2">
      <c r="B1298" s="5"/>
      <c r="C1298" s="17"/>
      <c r="D1298" s="32"/>
    </row>
    <row r="1299" spans="2:4" x14ac:dyDescent="0.2">
      <c r="B1299" s="5"/>
      <c r="C1299" s="17"/>
      <c r="D1299" s="32"/>
    </row>
    <row r="1300" spans="2:4" x14ac:dyDescent="0.2">
      <c r="B1300" s="5"/>
      <c r="C1300" s="17"/>
      <c r="D1300" s="32"/>
    </row>
    <row r="1301" spans="2:4" x14ac:dyDescent="0.2">
      <c r="B1301" s="5"/>
      <c r="C1301" s="17"/>
      <c r="D1301" s="32"/>
    </row>
    <row r="1302" spans="2:4" x14ac:dyDescent="0.2">
      <c r="B1302" s="5"/>
      <c r="C1302" s="17"/>
      <c r="D1302" s="32"/>
    </row>
    <row r="1303" spans="2:4" x14ac:dyDescent="0.2">
      <c r="B1303" s="5"/>
      <c r="C1303" s="17"/>
      <c r="D1303" s="32"/>
    </row>
    <row r="1304" spans="2:4" x14ac:dyDescent="0.2">
      <c r="B1304" s="5"/>
      <c r="C1304" s="17"/>
      <c r="D1304" s="32"/>
    </row>
    <row r="1305" spans="2:4" x14ac:dyDescent="0.2">
      <c r="B1305" s="5"/>
      <c r="C1305" s="17"/>
      <c r="D1305" s="32"/>
    </row>
    <row r="1306" spans="2:4" x14ac:dyDescent="0.2">
      <c r="B1306" s="5"/>
      <c r="C1306" s="17"/>
      <c r="D1306" s="32"/>
    </row>
    <row r="1307" spans="2:4" x14ac:dyDescent="0.2">
      <c r="B1307" s="5"/>
      <c r="C1307" s="17"/>
      <c r="D1307" s="32"/>
    </row>
    <row r="1308" spans="2:4" x14ac:dyDescent="0.2">
      <c r="B1308" s="5"/>
      <c r="C1308" s="17"/>
      <c r="D1308" s="32"/>
    </row>
    <row r="1309" spans="2:4" x14ac:dyDescent="0.2">
      <c r="B1309" s="5"/>
      <c r="C1309" s="17"/>
      <c r="D1309" s="32"/>
    </row>
    <row r="1310" spans="2:4" x14ac:dyDescent="0.2">
      <c r="B1310" s="5"/>
      <c r="C1310" s="17"/>
      <c r="D1310" s="32"/>
    </row>
    <row r="1311" spans="2:4" x14ac:dyDescent="0.2">
      <c r="B1311" s="5"/>
      <c r="C1311" s="17"/>
      <c r="D1311" s="32"/>
    </row>
    <row r="1312" spans="2:4" x14ac:dyDescent="0.2">
      <c r="B1312" s="5"/>
      <c r="C1312" s="17"/>
      <c r="D1312" s="32"/>
    </row>
    <row r="1313" spans="2:4" x14ac:dyDescent="0.2">
      <c r="B1313" s="5"/>
      <c r="C1313" s="17"/>
      <c r="D1313" s="32"/>
    </row>
    <row r="1314" spans="2:4" x14ac:dyDescent="0.2">
      <c r="B1314" s="5"/>
      <c r="C1314" s="17"/>
      <c r="D1314" s="32"/>
    </row>
    <row r="1315" spans="2:4" x14ac:dyDescent="0.2">
      <c r="B1315" s="5"/>
      <c r="C1315" s="17"/>
      <c r="D1315" s="32"/>
    </row>
    <row r="1316" spans="2:4" x14ac:dyDescent="0.2">
      <c r="B1316" s="5"/>
      <c r="C1316" s="17"/>
      <c r="D1316" s="32"/>
    </row>
    <row r="1317" spans="2:4" x14ac:dyDescent="0.2">
      <c r="B1317" s="5"/>
      <c r="C1317" s="17"/>
      <c r="D1317" s="32"/>
    </row>
    <row r="1318" spans="2:4" x14ac:dyDescent="0.2">
      <c r="B1318" s="5"/>
      <c r="C1318" s="17"/>
      <c r="D1318" s="32"/>
    </row>
    <row r="1319" spans="2:4" x14ac:dyDescent="0.2">
      <c r="B1319" s="5"/>
      <c r="C1319" s="17"/>
      <c r="D1319" s="32"/>
    </row>
    <row r="1320" spans="2:4" x14ac:dyDescent="0.2">
      <c r="B1320" s="5"/>
      <c r="C1320" s="17"/>
      <c r="D1320" s="32"/>
    </row>
    <row r="1321" spans="2:4" x14ac:dyDescent="0.2">
      <c r="B1321" s="5"/>
      <c r="C1321" s="17"/>
      <c r="D1321" s="32"/>
    </row>
    <row r="1322" spans="2:4" x14ac:dyDescent="0.2">
      <c r="B1322" s="5"/>
      <c r="C1322" s="17"/>
      <c r="D1322" s="32"/>
    </row>
    <row r="1323" spans="2:4" x14ac:dyDescent="0.2">
      <c r="B1323" s="5"/>
      <c r="C1323" s="17"/>
      <c r="D1323" s="32"/>
    </row>
    <row r="1324" spans="2:4" x14ac:dyDescent="0.2">
      <c r="B1324" s="5"/>
      <c r="C1324" s="17"/>
      <c r="D1324" s="32"/>
    </row>
    <row r="1325" spans="2:4" x14ac:dyDescent="0.2">
      <c r="B1325" s="5"/>
      <c r="C1325" s="17"/>
      <c r="D1325" s="32"/>
    </row>
    <row r="1326" spans="2:4" x14ac:dyDescent="0.2">
      <c r="B1326" s="5"/>
      <c r="C1326" s="17"/>
      <c r="D1326" s="32"/>
    </row>
    <row r="1327" spans="2:4" x14ac:dyDescent="0.2">
      <c r="B1327" s="5"/>
      <c r="C1327" s="17"/>
      <c r="D1327" s="32"/>
    </row>
    <row r="1328" spans="2:4" x14ac:dyDescent="0.2">
      <c r="B1328" s="5"/>
      <c r="C1328" s="17"/>
      <c r="D1328" s="32"/>
    </row>
    <row r="1329" spans="2:4" x14ac:dyDescent="0.2">
      <c r="B1329" s="5"/>
      <c r="C1329" s="17"/>
      <c r="D1329" s="32"/>
    </row>
    <row r="1330" spans="2:4" x14ac:dyDescent="0.2">
      <c r="B1330" s="5"/>
      <c r="C1330" s="17"/>
      <c r="D1330" s="32"/>
    </row>
    <row r="1331" spans="2:4" x14ac:dyDescent="0.2">
      <c r="B1331" s="5"/>
      <c r="C1331" s="17"/>
      <c r="D1331" s="32"/>
    </row>
    <row r="1332" spans="2:4" x14ac:dyDescent="0.2">
      <c r="B1332" s="5"/>
      <c r="C1332" s="17"/>
      <c r="D1332" s="32"/>
    </row>
    <row r="1333" spans="2:4" x14ac:dyDescent="0.2">
      <c r="B1333" s="5"/>
      <c r="C1333" s="17"/>
      <c r="D1333" s="32"/>
    </row>
    <row r="1334" spans="2:4" x14ac:dyDescent="0.2">
      <c r="B1334" s="5"/>
      <c r="C1334" s="17"/>
      <c r="D1334" s="32"/>
    </row>
    <row r="1335" spans="2:4" x14ac:dyDescent="0.2">
      <c r="B1335" s="5"/>
      <c r="C1335" s="17"/>
      <c r="D1335" s="32"/>
    </row>
    <row r="1336" spans="2:4" x14ac:dyDescent="0.2">
      <c r="B1336" s="5"/>
      <c r="C1336" s="17"/>
      <c r="D1336" s="32"/>
    </row>
    <row r="1337" spans="2:4" x14ac:dyDescent="0.2">
      <c r="B1337" s="5"/>
      <c r="C1337" s="17"/>
      <c r="D1337" s="32"/>
    </row>
    <row r="1338" spans="2:4" x14ac:dyDescent="0.2">
      <c r="B1338" s="5"/>
      <c r="C1338" s="17"/>
      <c r="D1338" s="32"/>
    </row>
    <row r="1339" spans="2:4" x14ac:dyDescent="0.2">
      <c r="B1339" s="5"/>
      <c r="C1339" s="17"/>
      <c r="D1339" s="32"/>
    </row>
    <row r="1340" spans="2:4" x14ac:dyDescent="0.2">
      <c r="B1340" s="5"/>
      <c r="C1340" s="17"/>
      <c r="D1340" s="32"/>
    </row>
    <row r="1341" spans="2:4" x14ac:dyDescent="0.2">
      <c r="B1341" s="5"/>
      <c r="C1341" s="17"/>
      <c r="D1341" s="32"/>
    </row>
    <row r="1342" spans="2:4" x14ac:dyDescent="0.2">
      <c r="B1342" s="5"/>
      <c r="C1342" s="17"/>
      <c r="D1342" s="32"/>
    </row>
    <row r="1343" spans="2:4" x14ac:dyDescent="0.2">
      <c r="B1343" s="5"/>
      <c r="C1343" s="17"/>
      <c r="D1343" s="32"/>
    </row>
    <row r="1344" spans="2:4" x14ac:dyDescent="0.2">
      <c r="B1344" s="5"/>
      <c r="C1344" s="17"/>
      <c r="D1344" s="32"/>
    </row>
    <row r="1345" spans="2:4" x14ac:dyDescent="0.2">
      <c r="B1345" s="5"/>
      <c r="C1345" s="17"/>
      <c r="D1345" s="32"/>
    </row>
    <row r="1346" spans="2:4" x14ac:dyDescent="0.2">
      <c r="B1346" s="5"/>
      <c r="C1346" s="17"/>
      <c r="D1346" s="32"/>
    </row>
    <row r="1347" spans="2:4" x14ac:dyDescent="0.2">
      <c r="B1347" s="5"/>
      <c r="C1347" s="17"/>
      <c r="D1347" s="32"/>
    </row>
    <row r="1348" spans="2:4" x14ac:dyDescent="0.2">
      <c r="B1348" s="5"/>
      <c r="C1348" s="17"/>
      <c r="D1348" s="32"/>
    </row>
    <row r="1349" spans="2:4" x14ac:dyDescent="0.2">
      <c r="B1349" s="5"/>
      <c r="C1349" s="17"/>
      <c r="D1349" s="32"/>
    </row>
    <row r="1350" spans="2:4" x14ac:dyDescent="0.2">
      <c r="B1350" s="5"/>
      <c r="C1350" s="17"/>
      <c r="D1350" s="32"/>
    </row>
    <row r="1351" spans="2:4" x14ac:dyDescent="0.2">
      <c r="B1351" s="5"/>
      <c r="C1351" s="17"/>
      <c r="D1351" s="32"/>
    </row>
    <row r="1352" spans="2:4" x14ac:dyDescent="0.2">
      <c r="B1352" s="5"/>
      <c r="C1352" s="17"/>
      <c r="D1352" s="32"/>
    </row>
    <row r="1353" spans="2:4" x14ac:dyDescent="0.2">
      <c r="B1353" s="5"/>
      <c r="C1353" s="17"/>
      <c r="D1353" s="32"/>
    </row>
    <row r="1354" spans="2:4" x14ac:dyDescent="0.2">
      <c r="B1354" s="5"/>
      <c r="C1354" s="17"/>
      <c r="D1354" s="32"/>
    </row>
    <row r="1355" spans="2:4" x14ac:dyDescent="0.2">
      <c r="B1355" s="5"/>
      <c r="C1355" s="17"/>
      <c r="D1355" s="32"/>
    </row>
    <row r="1356" spans="2:4" x14ac:dyDescent="0.2">
      <c r="B1356" s="5"/>
      <c r="C1356" s="17"/>
      <c r="D1356" s="32"/>
    </row>
    <row r="1357" spans="2:4" x14ac:dyDescent="0.2">
      <c r="B1357" s="5"/>
      <c r="C1357" s="17"/>
      <c r="D1357" s="32"/>
    </row>
    <row r="1358" spans="2:4" x14ac:dyDescent="0.2">
      <c r="B1358" s="5"/>
      <c r="C1358" s="17"/>
      <c r="D1358" s="32"/>
    </row>
    <row r="1359" spans="2:4" x14ac:dyDescent="0.2">
      <c r="B1359" s="5"/>
      <c r="C1359" s="17"/>
      <c r="D1359" s="32"/>
    </row>
    <row r="1360" spans="2:4" x14ac:dyDescent="0.2">
      <c r="B1360" s="5"/>
      <c r="C1360" s="17"/>
      <c r="D1360" s="32"/>
    </row>
    <row r="1361" spans="2:4" x14ac:dyDescent="0.2">
      <c r="B1361" s="5"/>
      <c r="C1361" s="17"/>
      <c r="D1361" s="32"/>
    </row>
    <row r="1362" spans="2:4" x14ac:dyDescent="0.2">
      <c r="B1362" s="5"/>
      <c r="C1362" s="17"/>
      <c r="D1362" s="32"/>
    </row>
    <row r="1363" spans="2:4" x14ac:dyDescent="0.2">
      <c r="B1363" s="5"/>
      <c r="C1363" s="17"/>
      <c r="D1363" s="32"/>
    </row>
    <row r="1364" spans="2:4" x14ac:dyDescent="0.2">
      <c r="B1364" s="5"/>
      <c r="C1364" s="17"/>
      <c r="D1364" s="32"/>
    </row>
    <row r="1365" spans="2:4" x14ac:dyDescent="0.2">
      <c r="B1365" s="5"/>
      <c r="C1365" s="17"/>
      <c r="D1365" s="32"/>
    </row>
    <row r="1366" spans="2:4" x14ac:dyDescent="0.2">
      <c r="B1366" s="5"/>
      <c r="C1366" s="17"/>
      <c r="D1366" s="32"/>
    </row>
    <row r="1367" spans="2:4" x14ac:dyDescent="0.2">
      <c r="B1367" s="5"/>
      <c r="C1367" s="17"/>
      <c r="D1367" s="32"/>
    </row>
    <row r="1368" spans="2:4" x14ac:dyDescent="0.2">
      <c r="B1368" s="5"/>
      <c r="C1368" s="17"/>
      <c r="D1368" s="32"/>
    </row>
    <row r="1369" spans="2:4" x14ac:dyDescent="0.2">
      <c r="B1369" s="5"/>
      <c r="C1369" s="17"/>
      <c r="D1369" s="32"/>
    </row>
    <row r="1370" spans="2:4" x14ac:dyDescent="0.2">
      <c r="B1370" s="5"/>
      <c r="C1370" s="17"/>
      <c r="D1370" s="32"/>
    </row>
    <row r="1371" spans="2:4" x14ac:dyDescent="0.2">
      <c r="B1371" s="5"/>
      <c r="C1371" s="17"/>
      <c r="D1371" s="32"/>
    </row>
    <row r="1372" spans="2:4" x14ac:dyDescent="0.2">
      <c r="B1372" s="5"/>
      <c r="C1372" s="17"/>
      <c r="D1372" s="32"/>
    </row>
    <row r="1373" spans="2:4" x14ac:dyDescent="0.2">
      <c r="B1373" s="5"/>
      <c r="C1373" s="17"/>
      <c r="D1373" s="32"/>
    </row>
    <row r="1374" spans="2:4" x14ac:dyDescent="0.2">
      <c r="B1374" s="5"/>
      <c r="C1374" s="17"/>
      <c r="D1374" s="32"/>
    </row>
    <row r="1375" spans="2:4" x14ac:dyDescent="0.2">
      <c r="B1375" s="5"/>
      <c r="C1375" s="17"/>
      <c r="D1375" s="32"/>
    </row>
    <row r="1376" spans="2:4" x14ac:dyDescent="0.2">
      <c r="B1376" s="5"/>
      <c r="C1376" s="17"/>
      <c r="D1376" s="32"/>
    </row>
    <row r="1377" spans="2:4" x14ac:dyDescent="0.2">
      <c r="B1377" s="5"/>
      <c r="C1377" s="17"/>
      <c r="D1377" s="32"/>
    </row>
    <row r="1378" spans="2:4" x14ac:dyDescent="0.2">
      <c r="B1378" s="5"/>
      <c r="C1378" s="17"/>
      <c r="D1378" s="32"/>
    </row>
    <row r="1379" spans="2:4" x14ac:dyDescent="0.2">
      <c r="B1379" s="5"/>
      <c r="C1379" s="17"/>
      <c r="D1379" s="32"/>
    </row>
    <row r="1380" spans="2:4" x14ac:dyDescent="0.2">
      <c r="B1380" s="5"/>
      <c r="C1380" s="17"/>
      <c r="D1380" s="32"/>
    </row>
    <row r="1381" spans="2:4" x14ac:dyDescent="0.2">
      <c r="B1381" s="5"/>
      <c r="C1381" s="17"/>
      <c r="D1381" s="32"/>
    </row>
    <row r="1382" spans="2:4" x14ac:dyDescent="0.2">
      <c r="B1382" s="5"/>
      <c r="C1382" s="17"/>
      <c r="D1382" s="32"/>
    </row>
    <row r="1383" spans="2:4" x14ac:dyDescent="0.2">
      <c r="B1383" s="5"/>
      <c r="C1383" s="17"/>
      <c r="D1383" s="32"/>
    </row>
    <row r="1384" spans="2:4" x14ac:dyDescent="0.2">
      <c r="B1384" s="5"/>
      <c r="C1384" s="17"/>
      <c r="D1384" s="32"/>
    </row>
    <row r="1385" spans="2:4" x14ac:dyDescent="0.2">
      <c r="B1385" s="5"/>
      <c r="C1385" s="17"/>
      <c r="D1385" s="32"/>
    </row>
    <row r="1386" spans="2:4" x14ac:dyDescent="0.2">
      <c r="B1386" s="5"/>
      <c r="C1386" s="17"/>
      <c r="D1386" s="32"/>
    </row>
    <row r="1387" spans="2:4" x14ac:dyDescent="0.2">
      <c r="B1387" s="5"/>
      <c r="C1387" s="17"/>
      <c r="D1387" s="32"/>
    </row>
    <row r="1388" spans="2:4" x14ac:dyDescent="0.2">
      <c r="B1388" s="5"/>
      <c r="C1388" s="17"/>
      <c r="D1388" s="32"/>
    </row>
    <row r="1389" spans="2:4" x14ac:dyDescent="0.2">
      <c r="B1389" s="5"/>
      <c r="C1389" s="17"/>
      <c r="D1389" s="32"/>
    </row>
    <row r="1390" spans="2:4" x14ac:dyDescent="0.2">
      <c r="B1390" s="5"/>
      <c r="C1390" s="17"/>
      <c r="D1390" s="32"/>
    </row>
    <row r="1391" spans="2:4" x14ac:dyDescent="0.2">
      <c r="B1391" s="5"/>
      <c r="C1391" s="17"/>
      <c r="D1391" s="32"/>
    </row>
    <row r="1392" spans="2:4" x14ac:dyDescent="0.2">
      <c r="B1392" s="5"/>
      <c r="C1392" s="17"/>
      <c r="D1392" s="32"/>
    </row>
    <row r="1393" spans="2:4" x14ac:dyDescent="0.2">
      <c r="B1393" s="5"/>
      <c r="C1393" s="17"/>
      <c r="D1393" s="32"/>
    </row>
    <row r="1394" spans="2:4" x14ac:dyDescent="0.2">
      <c r="B1394" s="5"/>
      <c r="C1394" s="17"/>
      <c r="D1394" s="32"/>
    </row>
    <row r="1395" spans="2:4" x14ac:dyDescent="0.2">
      <c r="B1395" s="5"/>
      <c r="C1395" s="17"/>
      <c r="D1395" s="32"/>
    </row>
    <row r="1396" spans="2:4" x14ac:dyDescent="0.2">
      <c r="B1396" s="5"/>
      <c r="C1396" s="17"/>
      <c r="D1396" s="32"/>
    </row>
    <row r="1397" spans="2:4" x14ac:dyDescent="0.2">
      <c r="B1397" s="5"/>
      <c r="C1397" s="17"/>
      <c r="D1397" s="32"/>
    </row>
    <row r="1398" spans="2:4" x14ac:dyDescent="0.2">
      <c r="B1398" s="5"/>
      <c r="C1398" s="17"/>
      <c r="D1398" s="32"/>
    </row>
    <row r="1399" spans="2:4" x14ac:dyDescent="0.2">
      <c r="B1399" s="5"/>
      <c r="C1399" s="17"/>
      <c r="D1399" s="32"/>
    </row>
    <row r="1400" spans="2:4" x14ac:dyDescent="0.2">
      <c r="B1400" s="5"/>
      <c r="C1400" s="17"/>
      <c r="D1400" s="32"/>
    </row>
    <row r="1401" spans="2:4" x14ac:dyDescent="0.2">
      <c r="B1401" s="5"/>
      <c r="C1401" s="17"/>
      <c r="D1401" s="32"/>
    </row>
    <row r="1402" spans="2:4" x14ac:dyDescent="0.2">
      <c r="B1402" s="5"/>
      <c r="C1402" s="17"/>
      <c r="D1402" s="32"/>
    </row>
    <row r="1403" spans="2:4" x14ac:dyDescent="0.2">
      <c r="B1403" s="5"/>
      <c r="C1403" s="17"/>
      <c r="D1403" s="32"/>
    </row>
    <row r="1404" spans="2:4" x14ac:dyDescent="0.2">
      <c r="B1404" s="5"/>
      <c r="C1404" s="17"/>
      <c r="D1404" s="32"/>
    </row>
    <row r="1405" spans="2:4" x14ac:dyDescent="0.2">
      <c r="B1405" s="5"/>
      <c r="C1405" s="17"/>
      <c r="D1405" s="32"/>
    </row>
    <row r="1406" spans="2:4" x14ac:dyDescent="0.2">
      <c r="B1406" s="5"/>
      <c r="C1406" s="17"/>
      <c r="D1406" s="32"/>
    </row>
    <row r="1407" spans="2:4" x14ac:dyDescent="0.2">
      <c r="B1407" s="5"/>
      <c r="C1407" s="17"/>
      <c r="D1407" s="32"/>
    </row>
    <row r="1408" spans="2:4" x14ac:dyDescent="0.2">
      <c r="B1408" s="5"/>
      <c r="C1408" s="17"/>
      <c r="D1408" s="32"/>
    </row>
    <row r="1409" spans="2:4" x14ac:dyDescent="0.2">
      <c r="B1409" s="5"/>
      <c r="C1409" s="17"/>
      <c r="D1409" s="32"/>
    </row>
    <row r="1410" spans="2:4" x14ac:dyDescent="0.2">
      <c r="B1410" s="5"/>
      <c r="C1410" s="17"/>
      <c r="D1410" s="32"/>
    </row>
    <row r="1411" spans="2:4" x14ac:dyDescent="0.2">
      <c r="B1411" s="5"/>
      <c r="C1411" s="17"/>
      <c r="D1411" s="32"/>
    </row>
    <row r="1412" spans="2:4" x14ac:dyDescent="0.2">
      <c r="B1412" s="5"/>
      <c r="C1412" s="17"/>
      <c r="D1412" s="32"/>
    </row>
    <row r="1413" spans="2:4" x14ac:dyDescent="0.2">
      <c r="B1413" s="5"/>
      <c r="C1413" s="17"/>
      <c r="D1413" s="32"/>
    </row>
    <row r="1414" spans="2:4" x14ac:dyDescent="0.2">
      <c r="B1414" s="5"/>
      <c r="C1414" s="17"/>
      <c r="D1414" s="32"/>
    </row>
    <row r="1415" spans="2:4" x14ac:dyDescent="0.2">
      <c r="B1415" s="5"/>
      <c r="C1415" s="17"/>
      <c r="D1415" s="32"/>
    </row>
    <row r="1416" spans="2:4" x14ac:dyDescent="0.2">
      <c r="B1416" s="5"/>
      <c r="C1416" s="17"/>
      <c r="D1416" s="32"/>
    </row>
    <row r="1417" spans="2:4" x14ac:dyDescent="0.2">
      <c r="B1417" s="5"/>
      <c r="C1417" s="17"/>
      <c r="D1417" s="32"/>
    </row>
    <row r="1418" spans="2:4" x14ac:dyDescent="0.2">
      <c r="B1418" s="5"/>
      <c r="C1418" s="17"/>
      <c r="D1418" s="32"/>
    </row>
    <row r="1419" spans="2:4" x14ac:dyDescent="0.2">
      <c r="B1419" s="5"/>
      <c r="C1419" s="17"/>
      <c r="D1419" s="32"/>
    </row>
    <row r="1420" spans="2:4" x14ac:dyDescent="0.2">
      <c r="B1420" s="5"/>
      <c r="C1420" s="17"/>
      <c r="D1420" s="32"/>
    </row>
    <row r="1421" spans="2:4" x14ac:dyDescent="0.2">
      <c r="B1421" s="5"/>
      <c r="C1421" s="17"/>
      <c r="D1421" s="32"/>
    </row>
    <row r="1422" spans="2:4" x14ac:dyDescent="0.2">
      <c r="B1422" s="5"/>
      <c r="C1422" s="17"/>
      <c r="D1422" s="32"/>
    </row>
    <row r="1423" spans="2:4" x14ac:dyDescent="0.2">
      <c r="B1423" s="5"/>
      <c r="C1423" s="17"/>
      <c r="D1423" s="32"/>
    </row>
    <row r="1424" spans="2:4" x14ac:dyDescent="0.2">
      <c r="B1424" s="5"/>
      <c r="C1424" s="17"/>
      <c r="D1424" s="32"/>
    </row>
    <row r="1425" spans="2:4" x14ac:dyDescent="0.2">
      <c r="B1425" s="5"/>
      <c r="C1425" s="17"/>
      <c r="D1425" s="32"/>
    </row>
    <row r="1426" spans="2:4" x14ac:dyDescent="0.2">
      <c r="B1426" s="5"/>
      <c r="C1426" s="17"/>
      <c r="D1426" s="32"/>
    </row>
    <row r="1427" spans="2:4" x14ac:dyDescent="0.2">
      <c r="B1427" s="5"/>
      <c r="C1427" s="17"/>
      <c r="D1427" s="32"/>
    </row>
    <row r="1428" spans="2:4" x14ac:dyDescent="0.2">
      <c r="B1428" s="5"/>
      <c r="C1428" s="17"/>
      <c r="D1428" s="32"/>
    </row>
    <row r="1429" spans="2:4" x14ac:dyDescent="0.2">
      <c r="B1429" s="5"/>
      <c r="C1429" s="17"/>
      <c r="D1429" s="32"/>
    </row>
    <row r="1430" spans="2:4" x14ac:dyDescent="0.2">
      <c r="B1430" s="5"/>
      <c r="C1430" s="17"/>
      <c r="D1430" s="32"/>
    </row>
    <row r="1431" spans="2:4" x14ac:dyDescent="0.2">
      <c r="B1431" s="5"/>
      <c r="C1431" s="17"/>
      <c r="D1431" s="32"/>
    </row>
    <row r="1432" spans="2:4" x14ac:dyDescent="0.2">
      <c r="B1432" s="5"/>
      <c r="C1432" s="17"/>
      <c r="D1432" s="32"/>
    </row>
    <row r="1433" spans="2:4" x14ac:dyDescent="0.2">
      <c r="B1433" s="5"/>
      <c r="C1433" s="17"/>
      <c r="D1433" s="32"/>
    </row>
    <row r="1434" spans="2:4" x14ac:dyDescent="0.2">
      <c r="B1434" s="5"/>
      <c r="C1434" s="17"/>
      <c r="D1434" s="32"/>
    </row>
    <row r="1435" spans="2:4" x14ac:dyDescent="0.2">
      <c r="B1435" s="5"/>
      <c r="C1435" s="17"/>
      <c r="D1435" s="32"/>
    </row>
    <row r="1436" spans="2:4" x14ac:dyDescent="0.2">
      <c r="B1436" s="5"/>
      <c r="C1436" s="17"/>
      <c r="D1436" s="32"/>
    </row>
    <row r="1437" spans="2:4" x14ac:dyDescent="0.2">
      <c r="B1437" s="5"/>
      <c r="C1437" s="17"/>
      <c r="D1437" s="32"/>
    </row>
    <row r="1438" spans="2:4" x14ac:dyDescent="0.2">
      <c r="B1438" s="5"/>
      <c r="C1438" s="17"/>
      <c r="D1438" s="32"/>
    </row>
    <row r="1439" spans="2:4" x14ac:dyDescent="0.2">
      <c r="B1439" s="5"/>
      <c r="C1439" s="17"/>
      <c r="D1439" s="32"/>
    </row>
    <row r="1440" spans="2:4" x14ac:dyDescent="0.2">
      <c r="B1440" s="5"/>
      <c r="C1440" s="17"/>
      <c r="D1440" s="32"/>
    </row>
    <row r="1441" spans="2:4" x14ac:dyDescent="0.2">
      <c r="B1441" s="5"/>
      <c r="C1441" s="17"/>
      <c r="D1441" s="32"/>
    </row>
    <row r="1442" spans="2:4" x14ac:dyDescent="0.2">
      <c r="B1442" s="5"/>
      <c r="C1442" s="17"/>
      <c r="D1442" s="32"/>
    </row>
    <row r="1443" spans="2:4" x14ac:dyDescent="0.2">
      <c r="B1443" s="5"/>
      <c r="C1443" s="17"/>
      <c r="D1443" s="32"/>
    </row>
    <row r="1444" spans="2:4" x14ac:dyDescent="0.2">
      <c r="B1444" s="5"/>
      <c r="C1444" s="17"/>
      <c r="D1444" s="32"/>
    </row>
    <row r="1445" spans="2:4" x14ac:dyDescent="0.2">
      <c r="B1445" s="5"/>
      <c r="C1445" s="17"/>
      <c r="D1445" s="32"/>
    </row>
    <row r="1446" spans="2:4" x14ac:dyDescent="0.2">
      <c r="B1446" s="5"/>
      <c r="C1446" s="17"/>
      <c r="D1446" s="32"/>
    </row>
    <row r="1447" spans="2:4" x14ac:dyDescent="0.2">
      <c r="B1447" s="5"/>
      <c r="C1447" s="17"/>
      <c r="D1447" s="32"/>
    </row>
    <row r="1448" spans="2:4" x14ac:dyDescent="0.2">
      <c r="B1448" s="5"/>
      <c r="C1448" s="17"/>
      <c r="D1448" s="32"/>
    </row>
    <row r="1449" spans="2:4" x14ac:dyDescent="0.2">
      <c r="B1449" s="5"/>
      <c r="C1449" s="17"/>
      <c r="D1449" s="32"/>
    </row>
    <row r="1450" spans="2:4" x14ac:dyDescent="0.2">
      <c r="B1450" s="5"/>
      <c r="C1450" s="17"/>
      <c r="D1450" s="32"/>
    </row>
    <row r="1451" spans="2:4" x14ac:dyDescent="0.2">
      <c r="B1451" s="5"/>
      <c r="C1451" s="17"/>
      <c r="D1451" s="32"/>
    </row>
    <row r="1452" spans="2:4" x14ac:dyDescent="0.2">
      <c r="B1452" s="5"/>
      <c r="C1452" s="17"/>
      <c r="D1452" s="32"/>
    </row>
    <row r="1453" spans="2:4" x14ac:dyDescent="0.2">
      <c r="B1453" s="5"/>
      <c r="C1453" s="17"/>
      <c r="D1453" s="32"/>
    </row>
    <row r="1454" spans="2:4" x14ac:dyDescent="0.2">
      <c r="B1454" s="5"/>
      <c r="C1454" s="17"/>
      <c r="D1454" s="32"/>
    </row>
    <row r="1455" spans="2:4" x14ac:dyDescent="0.2">
      <c r="B1455" s="5"/>
      <c r="C1455" s="17"/>
      <c r="D1455" s="32"/>
    </row>
    <row r="1456" spans="2:4" x14ac:dyDescent="0.2">
      <c r="B1456" s="5"/>
      <c r="C1456" s="17"/>
      <c r="D1456" s="32"/>
    </row>
    <row r="1457" spans="2:4" x14ac:dyDescent="0.2">
      <c r="B1457" s="5"/>
      <c r="C1457" s="17"/>
      <c r="D1457" s="32"/>
    </row>
    <row r="1458" spans="2:4" x14ac:dyDescent="0.2">
      <c r="B1458" s="5"/>
      <c r="C1458" s="17"/>
      <c r="D1458" s="32"/>
    </row>
    <row r="1459" spans="2:4" x14ac:dyDescent="0.2">
      <c r="B1459" s="5"/>
      <c r="C1459" s="17"/>
      <c r="D1459" s="32"/>
    </row>
    <row r="1460" spans="2:4" x14ac:dyDescent="0.2">
      <c r="B1460" s="5"/>
      <c r="C1460" s="17"/>
      <c r="D1460" s="32"/>
    </row>
    <row r="1461" spans="2:4" x14ac:dyDescent="0.2">
      <c r="B1461" s="5"/>
      <c r="C1461" s="17"/>
      <c r="D1461" s="32"/>
    </row>
    <row r="1462" spans="2:4" x14ac:dyDescent="0.2">
      <c r="B1462" s="5"/>
      <c r="C1462" s="17"/>
      <c r="D1462" s="32"/>
    </row>
    <row r="1463" spans="2:4" x14ac:dyDescent="0.2">
      <c r="B1463" s="5"/>
      <c r="C1463" s="17"/>
      <c r="D1463" s="32"/>
    </row>
    <row r="1464" spans="2:4" x14ac:dyDescent="0.2">
      <c r="B1464" s="5"/>
      <c r="C1464" s="17"/>
      <c r="D1464" s="32"/>
    </row>
    <row r="1465" spans="2:4" x14ac:dyDescent="0.2">
      <c r="B1465" s="5"/>
      <c r="C1465" s="17"/>
      <c r="D1465" s="32"/>
    </row>
    <row r="1466" spans="2:4" x14ac:dyDescent="0.2">
      <c r="B1466" s="5"/>
      <c r="C1466" s="17"/>
      <c r="D1466" s="32"/>
    </row>
    <row r="1467" spans="2:4" x14ac:dyDescent="0.2">
      <c r="B1467" s="5"/>
      <c r="C1467" s="17"/>
      <c r="D1467" s="32"/>
    </row>
    <row r="1468" spans="2:4" x14ac:dyDescent="0.2">
      <c r="B1468" s="5"/>
      <c r="C1468" s="17"/>
      <c r="D1468" s="32"/>
    </row>
    <row r="1469" spans="2:4" x14ac:dyDescent="0.2">
      <c r="B1469" s="5"/>
      <c r="C1469" s="17"/>
      <c r="D1469" s="32"/>
    </row>
    <row r="1470" spans="2:4" x14ac:dyDescent="0.2">
      <c r="B1470" s="5"/>
      <c r="C1470" s="17"/>
      <c r="D1470" s="32"/>
    </row>
    <row r="1471" spans="2:4" x14ac:dyDescent="0.2">
      <c r="B1471" s="5"/>
      <c r="C1471" s="17"/>
      <c r="D1471" s="32"/>
    </row>
    <row r="1472" spans="2:4" x14ac:dyDescent="0.2">
      <c r="B1472" s="5"/>
      <c r="C1472" s="17"/>
      <c r="D1472" s="32"/>
    </row>
    <row r="1473" spans="2:4" x14ac:dyDescent="0.2">
      <c r="B1473" s="5"/>
      <c r="C1473" s="17"/>
      <c r="D1473" s="32"/>
    </row>
    <row r="1474" spans="2:4" x14ac:dyDescent="0.2">
      <c r="B1474" s="5"/>
      <c r="C1474" s="17"/>
      <c r="D1474" s="32"/>
    </row>
    <row r="1475" spans="2:4" x14ac:dyDescent="0.2">
      <c r="B1475" s="5"/>
      <c r="C1475" s="17"/>
      <c r="D1475" s="32"/>
    </row>
    <row r="1476" spans="2:4" x14ac:dyDescent="0.2">
      <c r="B1476" s="5"/>
      <c r="C1476" s="17"/>
      <c r="D1476" s="32"/>
    </row>
    <row r="1477" spans="2:4" x14ac:dyDescent="0.2">
      <c r="B1477" s="5"/>
      <c r="C1477" s="17"/>
      <c r="D1477" s="32"/>
    </row>
    <row r="1478" spans="2:4" x14ac:dyDescent="0.2">
      <c r="B1478" s="5"/>
      <c r="C1478" s="17"/>
      <c r="D1478" s="32"/>
    </row>
    <row r="1479" spans="2:4" x14ac:dyDescent="0.2">
      <c r="B1479" s="5"/>
      <c r="C1479" s="17"/>
      <c r="D1479" s="32"/>
    </row>
    <row r="1480" spans="2:4" x14ac:dyDescent="0.2">
      <c r="B1480" s="5"/>
      <c r="C1480" s="17"/>
      <c r="D1480" s="32"/>
    </row>
    <row r="1481" spans="2:4" x14ac:dyDescent="0.2">
      <c r="B1481" s="5"/>
      <c r="C1481" s="17"/>
      <c r="D1481" s="32"/>
    </row>
    <row r="1482" spans="2:4" x14ac:dyDescent="0.2">
      <c r="B1482" s="5"/>
      <c r="C1482" s="17"/>
      <c r="D1482" s="32"/>
    </row>
    <row r="1483" spans="2:4" x14ac:dyDescent="0.2">
      <c r="B1483" s="5"/>
      <c r="C1483" s="17"/>
      <c r="D1483" s="32"/>
    </row>
    <row r="1484" spans="2:4" x14ac:dyDescent="0.2">
      <c r="B1484" s="5"/>
      <c r="C1484" s="17"/>
      <c r="D1484" s="32"/>
    </row>
    <row r="1485" spans="2:4" x14ac:dyDescent="0.2">
      <c r="B1485" s="5"/>
      <c r="C1485" s="17"/>
      <c r="D1485" s="32"/>
    </row>
    <row r="1486" spans="2:4" x14ac:dyDescent="0.2">
      <c r="B1486" s="5"/>
      <c r="C1486" s="17"/>
      <c r="D1486" s="32"/>
    </row>
    <row r="1487" spans="2:4" x14ac:dyDescent="0.2">
      <c r="B1487" s="5"/>
      <c r="C1487" s="17"/>
      <c r="D1487" s="32"/>
    </row>
    <row r="1488" spans="2:4" x14ac:dyDescent="0.2">
      <c r="B1488" s="5"/>
      <c r="C1488" s="17"/>
      <c r="D1488" s="32"/>
    </row>
    <row r="1489" spans="2:4" x14ac:dyDescent="0.2">
      <c r="B1489" s="5"/>
      <c r="C1489" s="17"/>
      <c r="D1489" s="32"/>
    </row>
    <row r="1490" spans="2:4" x14ac:dyDescent="0.2">
      <c r="B1490" s="5"/>
      <c r="C1490" s="17"/>
      <c r="D1490" s="32"/>
    </row>
    <row r="1491" spans="2:4" x14ac:dyDescent="0.2">
      <c r="B1491" s="5"/>
      <c r="C1491" s="17"/>
      <c r="D1491" s="32"/>
    </row>
    <row r="1492" spans="2:4" x14ac:dyDescent="0.2">
      <c r="B1492" s="5"/>
      <c r="C1492" s="17"/>
      <c r="D1492" s="32"/>
    </row>
    <row r="1493" spans="2:4" x14ac:dyDescent="0.2">
      <c r="B1493" s="5"/>
      <c r="C1493" s="17"/>
      <c r="D1493" s="32"/>
    </row>
    <row r="1494" spans="2:4" x14ac:dyDescent="0.2">
      <c r="B1494" s="5"/>
      <c r="C1494" s="17"/>
      <c r="D1494" s="32"/>
    </row>
    <row r="1495" spans="2:4" x14ac:dyDescent="0.2">
      <c r="B1495" s="5"/>
      <c r="C1495" s="17"/>
      <c r="D1495" s="32"/>
    </row>
    <row r="1496" spans="2:4" x14ac:dyDescent="0.2">
      <c r="B1496" s="5"/>
      <c r="C1496" s="17"/>
      <c r="D1496" s="32"/>
    </row>
    <row r="1497" spans="2:4" x14ac:dyDescent="0.2">
      <c r="B1497" s="5"/>
      <c r="C1497" s="17"/>
      <c r="D1497" s="32"/>
    </row>
    <row r="1498" spans="2:4" x14ac:dyDescent="0.2">
      <c r="B1498" s="5"/>
      <c r="C1498" s="17"/>
      <c r="D1498" s="32"/>
    </row>
    <row r="1499" spans="2:4" x14ac:dyDescent="0.2">
      <c r="B1499" s="5"/>
      <c r="C1499" s="17"/>
      <c r="D1499" s="32"/>
    </row>
    <row r="1500" spans="2:4" x14ac:dyDescent="0.2">
      <c r="B1500" s="5"/>
      <c r="C1500" s="17"/>
      <c r="D1500" s="32"/>
    </row>
    <row r="1501" spans="2:4" x14ac:dyDescent="0.2">
      <c r="B1501" s="5"/>
      <c r="C1501" s="17"/>
      <c r="D1501" s="32"/>
    </row>
    <row r="1502" spans="2:4" x14ac:dyDescent="0.2">
      <c r="B1502" s="5"/>
      <c r="C1502" s="17"/>
      <c r="D1502" s="32"/>
    </row>
    <row r="1503" spans="2:4" x14ac:dyDescent="0.2">
      <c r="B1503" s="5"/>
      <c r="C1503" s="17"/>
      <c r="D1503" s="32"/>
    </row>
    <row r="1504" spans="2:4" x14ac:dyDescent="0.2">
      <c r="B1504" s="5"/>
      <c r="C1504" s="17"/>
      <c r="D1504" s="32"/>
    </row>
    <row r="1505" spans="2:4" x14ac:dyDescent="0.2">
      <c r="B1505" s="5"/>
      <c r="C1505" s="17"/>
      <c r="D1505" s="32"/>
    </row>
    <row r="1506" spans="2:4" x14ac:dyDescent="0.2">
      <c r="B1506" s="5"/>
      <c r="C1506" s="17"/>
      <c r="D1506" s="32"/>
    </row>
    <row r="1507" spans="2:4" x14ac:dyDescent="0.2">
      <c r="B1507" s="5"/>
      <c r="C1507" s="17"/>
      <c r="D1507" s="32"/>
    </row>
    <row r="1508" spans="2:4" x14ac:dyDescent="0.2">
      <c r="B1508" s="5"/>
      <c r="C1508" s="17"/>
      <c r="D1508" s="32"/>
    </row>
    <row r="1509" spans="2:4" x14ac:dyDescent="0.2">
      <c r="B1509" s="5"/>
      <c r="C1509" s="17"/>
      <c r="D1509" s="32"/>
    </row>
    <row r="1510" spans="2:4" x14ac:dyDescent="0.2">
      <c r="B1510" s="5"/>
      <c r="C1510" s="17"/>
      <c r="D1510" s="32"/>
    </row>
    <row r="1511" spans="2:4" x14ac:dyDescent="0.2">
      <c r="B1511" s="5"/>
      <c r="C1511" s="17"/>
      <c r="D1511" s="32"/>
    </row>
    <row r="1512" spans="2:4" x14ac:dyDescent="0.2">
      <c r="B1512" s="5"/>
      <c r="C1512" s="17"/>
      <c r="D1512" s="32"/>
    </row>
    <row r="1513" spans="2:4" x14ac:dyDescent="0.2">
      <c r="B1513" s="5"/>
      <c r="C1513" s="17"/>
      <c r="D1513" s="32"/>
    </row>
    <row r="1514" spans="2:4" x14ac:dyDescent="0.2">
      <c r="B1514" s="5"/>
      <c r="C1514" s="17"/>
      <c r="D1514" s="32"/>
    </row>
    <row r="1515" spans="2:4" x14ac:dyDescent="0.2">
      <c r="B1515" s="5"/>
      <c r="C1515" s="17"/>
      <c r="D1515" s="32"/>
    </row>
    <row r="1516" spans="2:4" x14ac:dyDescent="0.2">
      <c r="B1516" s="5"/>
      <c r="C1516" s="17"/>
      <c r="D1516" s="32"/>
    </row>
    <row r="1517" spans="2:4" x14ac:dyDescent="0.2">
      <c r="B1517" s="5"/>
      <c r="C1517" s="17"/>
      <c r="D1517" s="32"/>
    </row>
    <row r="1518" spans="2:4" x14ac:dyDescent="0.2">
      <c r="B1518" s="5"/>
      <c r="C1518" s="17"/>
      <c r="D1518" s="32"/>
    </row>
    <row r="1519" spans="2:4" x14ac:dyDescent="0.2">
      <c r="B1519" s="5"/>
      <c r="C1519" s="17"/>
      <c r="D1519" s="32"/>
    </row>
    <row r="1520" spans="2:4" x14ac:dyDescent="0.2">
      <c r="B1520" s="5"/>
      <c r="C1520" s="17"/>
      <c r="D1520" s="32"/>
    </row>
    <row r="1521" spans="2:4" x14ac:dyDescent="0.2">
      <c r="B1521" s="5"/>
      <c r="C1521" s="17"/>
      <c r="D1521" s="32"/>
    </row>
    <row r="1522" spans="2:4" x14ac:dyDescent="0.2">
      <c r="B1522" s="5"/>
      <c r="C1522" s="17"/>
      <c r="D1522" s="32"/>
    </row>
    <row r="1523" spans="2:4" x14ac:dyDescent="0.2">
      <c r="B1523" s="5"/>
      <c r="C1523" s="17"/>
      <c r="D1523" s="32"/>
    </row>
    <row r="1524" spans="2:4" x14ac:dyDescent="0.2">
      <c r="B1524" s="5"/>
      <c r="C1524" s="17"/>
      <c r="D1524" s="32"/>
    </row>
    <row r="1525" spans="2:4" x14ac:dyDescent="0.2">
      <c r="B1525" s="5"/>
      <c r="C1525" s="17"/>
      <c r="D1525" s="32"/>
    </row>
    <row r="1526" spans="2:4" x14ac:dyDescent="0.2">
      <c r="B1526" s="5"/>
      <c r="C1526" s="17"/>
      <c r="D1526" s="32"/>
    </row>
    <row r="1527" spans="2:4" x14ac:dyDescent="0.2">
      <c r="B1527" s="5"/>
      <c r="C1527" s="17"/>
      <c r="D1527" s="32"/>
    </row>
    <row r="1528" spans="2:4" x14ac:dyDescent="0.2">
      <c r="B1528" s="5"/>
      <c r="C1528" s="17"/>
      <c r="D1528" s="32"/>
    </row>
    <row r="1529" spans="2:4" x14ac:dyDescent="0.2">
      <c r="B1529" s="5"/>
      <c r="C1529" s="17"/>
      <c r="D1529" s="32"/>
    </row>
    <row r="1530" spans="2:4" x14ac:dyDescent="0.2">
      <c r="B1530" s="5"/>
      <c r="C1530" s="17"/>
      <c r="D1530" s="32"/>
    </row>
    <row r="1531" spans="2:4" x14ac:dyDescent="0.2">
      <c r="B1531" s="5"/>
      <c r="C1531" s="17"/>
      <c r="D1531" s="32"/>
    </row>
    <row r="1532" spans="2:4" x14ac:dyDescent="0.2">
      <c r="B1532" s="5"/>
      <c r="C1532" s="17"/>
      <c r="D1532" s="32"/>
    </row>
    <row r="1533" spans="2:4" x14ac:dyDescent="0.2">
      <c r="B1533" s="5"/>
      <c r="C1533" s="17"/>
      <c r="D1533" s="32"/>
    </row>
    <row r="1534" spans="2:4" x14ac:dyDescent="0.2">
      <c r="B1534" s="5"/>
      <c r="C1534" s="17"/>
      <c r="D1534" s="32"/>
    </row>
    <row r="1535" spans="2:4" x14ac:dyDescent="0.2">
      <c r="B1535" s="5"/>
      <c r="C1535" s="17"/>
      <c r="D1535" s="32"/>
    </row>
    <row r="1536" spans="2:4" x14ac:dyDescent="0.2">
      <c r="B1536" s="5"/>
      <c r="C1536" s="17"/>
      <c r="D1536" s="32"/>
    </row>
    <row r="1537" spans="2:4" x14ac:dyDescent="0.2">
      <c r="B1537" s="5"/>
      <c r="C1537" s="17"/>
      <c r="D1537" s="32"/>
    </row>
    <row r="1538" spans="2:4" x14ac:dyDescent="0.2">
      <c r="B1538" s="5"/>
      <c r="C1538" s="17"/>
      <c r="D1538" s="32"/>
    </row>
    <row r="1539" spans="2:4" x14ac:dyDescent="0.2">
      <c r="B1539" s="5"/>
      <c r="C1539" s="17"/>
      <c r="D1539" s="32"/>
    </row>
    <row r="1540" spans="2:4" x14ac:dyDescent="0.2">
      <c r="B1540" s="5"/>
      <c r="C1540" s="17"/>
      <c r="D1540" s="32"/>
    </row>
    <row r="1541" spans="2:4" x14ac:dyDescent="0.2">
      <c r="B1541" s="5"/>
      <c r="C1541" s="17"/>
      <c r="D1541" s="32"/>
    </row>
    <row r="1542" spans="2:4" x14ac:dyDescent="0.2">
      <c r="B1542" s="5"/>
      <c r="C1542" s="17"/>
      <c r="D1542" s="32"/>
    </row>
    <row r="1543" spans="2:4" x14ac:dyDescent="0.2">
      <c r="B1543" s="5"/>
      <c r="C1543" s="17"/>
      <c r="D1543" s="32"/>
    </row>
    <row r="1544" spans="2:4" x14ac:dyDescent="0.2">
      <c r="B1544" s="5"/>
      <c r="C1544" s="17"/>
      <c r="D1544" s="32"/>
    </row>
    <row r="1545" spans="2:4" x14ac:dyDescent="0.2">
      <c r="B1545" s="5"/>
      <c r="C1545" s="17"/>
      <c r="D1545" s="32"/>
    </row>
    <row r="1546" spans="2:4" x14ac:dyDescent="0.2">
      <c r="B1546" s="5"/>
      <c r="C1546" s="17"/>
      <c r="D1546" s="32"/>
    </row>
    <row r="1547" spans="2:4" x14ac:dyDescent="0.2">
      <c r="B1547" s="5"/>
      <c r="C1547" s="17"/>
      <c r="D1547" s="32"/>
    </row>
    <row r="1548" spans="2:4" x14ac:dyDescent="0.2">
      <c r="B1548" s="5"/>
      <c r="C1548" s="17"/>
      <c r="D1548" s="32"/>
    </row>
    <row r="1549" spans="2:4" x14ac:dyDescent="0.2">
      <c r="B1549" s="5"/>
      <c r="C1549" s="17"/>
      <c r="D1549" s="32"/>
    </row>
    <row r="1550" spans="2:4" x14ac:dyDescent="0.2">
      <c r="B1550" s="5"/>
      <c r="C1550" s="17"/>
      <c r="D1550" s="32"/>
    </row>
    <row r="1551" spans="2:4" x14ac:dyDescent="0.2">
      <c r="B1551" s="5"/>
      <c r="C1551" s="17"/>
      <c r="D1551" s="32"/>
    </row>
    <row r="1552" spans="2:4" x14ac:dyDescent="0.2">
      <c r="B1552" s="5"/>
      <c r="C1552" s="17"/>
      <c r="D1552" s="32"/>
    </row>
    <row r="1553" spans="2:4" x14ac:dyDescent="0.2">
      <c r="B1553" s="5"/>
      <c r="C1553" s="17"/>
      <c r="D1553" s="32"/>
    </row>
    <row r="1554" spans="2:4" x14ac:dyDescent="0.2">
      <c r="B1554" s="5"/>
      <c r="C1554" s="17"/>
      <c r="D1554" s="32"/>
    </row>
    <row r="1555" spans="2:4" x14ac:dyDescent="0.2">
      <c r="B1555" s="5"/>
      <c r="C1555" s="17"/>
      <c r="D1555" s="32"/>
    </row>
    <row r="1556" spans="2:4" x14ac:dyDescent="0.2">
      <c r="B1556" s="5"/>
      <c r="C1556" s="17"/>
      <c r="D1556" s="32"/>
    </row>
    <row r="1557" spans="2:4" x14ac:dyDescent="0.2">
      <c r="B1557" s="5"/>
      <c r="C1557" s="17"/>
      <c r="D1557" s="32"/>
    </row>
    <row r="1558" spans="2:4" x14ac:dyDescent="0.2">
      <c r="B1558" s="5"/>
      <c r="C1558" s="17"/>
      <c r="D1558" s="32"/>
    </row>
    <row r="1559" spans="2:4" x14ac:dyDescent="0.2">
      <c r="B1559" s="5"/>
      <c r="C1559" s="17"/>
      <c r="D1559" s="32"/>
    </row>
    <row r="1560" spans="2:4" x14ac:dyDescent="0.2">
      <c r="B1560" s="5"/>
      <c r="C1560" s="17"/>
      <c r="D1560" s="32"/>
    </row>
    <row r="1561" spans="2:4" x14ac:dyDescent="0.2">
      <c r="B1561" s="5"/>
      <c r="C1561" s="17"/>
      <c r="D1561" s="32"/>
    </row>
    <row r="1562" spans="2:4" x14ac:dyDescent="0.2">
      <c r="B1562" s="5"/>
      <c r="C1562" s="17"/>
      <c r="D1562" s="32"/>
    </row>
    <row r="1563" spans="2:4" x14ac:dyDescent="0.2">
      <c r="B1563" s="5"/>
      <c r="C1563" s="17"/>
      <c r="D1563" s="32"/>
    </row>
    <row r="1564" spans="2:4" x14ac:dyDescent="0.2">
      <c r="B1564" s="5"/>
      <c r="C1564" s="17"/>
      <c r="D1564" s="32"/>
    </row>
    <row r="1565" spans="2:4" x14ac:dyDescent="0.2">
      <c r="B1565" s="5"/>
      <c r="C1565" s="17"/>
      <c r="D1565" s="32"/>
    </row>
    <row r="1566" spans="2:4" x14ac:dyDescent="0.2">
      <c r="B1566" s="5"/>
      <c r="C1566" s="17"/>
      <c r="D1566" s="32"/>
    </row>
    <row r="1567" spans="2:4" x14ac:dyDescent="0.2">
      <c r="B1567" s="5"/>
      <c r="C1567" s="17"/>
      <c r="D1567" s="32"/>
    </row>
    <row r="1568" spans="2:4" x14ac:dyDescent="0.2">
      <c r="B1568" s="5"/>
      <c r="C1568" s="17"/>
      <c r="D1568" s="32"/>
    </row>
    <row r="1569" spans="2:4" x14ac:dyDescent="0.2">
      <c r="B1569" s="5"/>
      <c r="C1569" s="17"/>
      <c r="D1569" s="32"/>
    </row>
    <row r="1570" spans="2:4" x14ac:dyDescent="0.2">
      <c r="B1570" s="5"/>
      <c r="C1570" s="17"/>
      <c r="D1570" s="32"/>
    </row>
    <row r="1571" spans="2:4" x14ac:dyDescent="0.2">
      <c r="B1571" s="5"/>
      <c r="C1571" s="17"/>
      <c r="D1571" s="32"/>
    </row>
    <row r="1572" spans="2:4" x14ac:dyDescent="0.2">
      <c r="B1572" s="5"/>
      <c r="C1572" s="17"/>
      <c r="D1572" s="32"/>
    </row>
    <row r="1573" spans="2:4" x14ac:dyDescent="0.2">
      <c r="B1573" s="5"/>
      <c r="C1573" s="17"/>
      <c r="D1573" s="32"/>
    </row>
    <row r="1574" spans="2:4" x14ac:dyDescent="0.2">
      <c r="B1574" s="5"/>
      <c r="C1574" s="17"/>
      <c r="D1574" s="32"/>
    </row>
    <row r="1575" spans="2:4" x14ac:dyDescent="0.2">
      <c r="B1575" s="5"/>
      <c r="C1575" s="17"/>
      <c r="D1575" s="32"/>
    </row>
    <row r="1576" spans="2:4" x14ac:dyDescent="0.2">
      <c r="B1576" s="5"/>
      <c r="C1576" s="17"/>
      <c r="D1576" s="32"/>
    </row>
    <row r="1577" spans="2:4" x14ac:dyDescent="0.2">
      <c r="B1577" s="5"/>
      <c r="C1577" s="17"/>
      <c r="D1577" s="32"/>
    </row>
    <row r="1578" spans="2:4" x14ac:dyDescent="0.2">
      <c r="B1578" s="5"/>
      <c r="C1578" s="17"/>
      <c r="D1578" s="32"/>
    </row>
    <row r="1579" spans="2:4" x14ac:dyDescent="0.2">
      <c r="B1579" s="5"/>
      <c r="C1579" s="17"/>
      <c r="D1579" s="32"/>
    </row>
    <row r="1580" spans="2:4" x14ac:dyDescent="0.2">
      <c r="B1580" s="5"/>
      <c r="C1580" s="17"/>
      <c r="D1580" s="32"/>
    </row>
    <row r="1581" spans="2:4" x14ac:dyDescent="0.2">
      <c r="B1581" s="5"/>
      <c r="C1581" s="17"/>
      <c r="D1581" s="32"/>
    </row>
    <row r="1582" spans="2:4" x14ac:dyDescent="0.2">
      <c r="B1582" s="5"/>
      <c r="C1582" s="17"/>
      <c r="D1582" s="32"/>
    </row>
    <row r="1583" spans="2:4" x14ac:dyDescent="0.2">
      <c r="B1583" s="5"/>
      <c r="C1583" s="17"/>
      <c r="D1583" s="32"/>
    </row>
    <row r="1584" spans="2:4" x14ac:dyDescent="0.2">
      <c r="B1584" s="5"/>
      <c r="C1584" s="17"/>
      <c r="D1584" s="32"/>
    </row>
    <row r="1585" spans="2:4" x14ac:dyDescent="0.2">
      <c r="B1585" s="5"/>
      <c r="C1585" s="17"/>
      <c r="D1585" s="32"/>
    </row>
    <row r="1586" spans="2:4" x14ac:dyDescent="0.2">
      <c r="B1586" s="5"/>
      <c r="C1586" s="17"/>
      <c r="D1586" s="32"/>
    </row>
    <row r="1587" spans="2:4" x14ac:dyDescent="0.2">
      <c r="B1587" s="5"/>
      <c r="C1587" s="17"/>
      <c r="D1587" s="32"/>
    </row>
    <row r="1588" spans="2:4" x14ac:dyDescent="0.2">
      <c r="B1588" s="5"/>
      <c r="C1588" s="17"/>
      <c r="D1588" s="32"/>
    </row>
    <row r="1589" spans="2:4" x14ac:dyDescent="0.2">
      <c r="B1589" s="5"/>
      <c r="C1589" s="17"/>
      <c r="D1589" s="32"/>
    </row>
    <row r="1590" spans="2:4" x14ac:dyDescent="0.2">
      <c r="B1590" s="5"/>
      <c r="C1590" s="17"/>
      <c r="D1590" s="32"/>
    </row>
    <row r="1591" spans="2:4" x14ac:dyDescent="0.2">
      <c r="B1591" s="5"/>
      <c r="C1591" s="17"/>
      <c r="D1591" s="32"/>
    </row>
    <row r="1592" spans="2:4" x14ac:dyDescent="0.2">
      <c r="B1592" s="5"/>
      <c r="C1592" s="17"/>
      <c r="D1592" s="32"/>
    </row>
    <row r="1593" spans="2:4" x14ac:dyDescent="0.2">
      <c r="B1593" s="5"/>
      <c r="C1593" s="17"/>
      <c r="D1593" s="32"/>
    </row>
    <row r="1594" spans="2:4" x14ac:dyDescent="0.2">
      <c r="B1594" s="5"/>
      <c r="C1594" s="17"/>
      <c r="D1594" s="32"/>
    </row>
    <row r="1595" spans="2:4" x14ac:dyDescent="0.2">
      <c r="B1595" s="5"/>
      <c r="C1595" s="17"/>
      <c r="D1595" s="32"/>
    </row>
    <row r="1596" spans="2:4" x14ac:dyDescent="0.2">
      <c r="B1596" s="5"/>
      <c r="C1596" s="17"/>
      <c r="D1596" s="32"/>
    </row>
    <row r="1597" spans="2:4" x14ac:dyDescent="0.2">
      <c r="B1597" s="5"/>
      <c r="C1597" s="17"/>
      <c r="D1597" s="32"/>
    </row>
    <row r="1598" spans="2:4" x14ac:dyDescent="0.2">
      <c r="B1598" s="5"/>
      <c r="C1598" s="17"/>
      <c r="D1598" s="32"/>
    </row>
    <row r="1599" spans="2:4" x14ac:dyDescent="0.2">
      <c r="B1599" s="5"/>
      <c r="C1599" s="17"/>
      <c r="D1599" s="32"/>
    </row>
    <row r="1600" spans="2:4" x14ac:dyDescent="0.2">
      <c r="B1600" s="5"/>
      <c r="C1600" s="17"/>
      <c r="D1600" s="32"/>
    </row>
    <row r="1601" spans="2:4" x14ac:dyDescent="0.2">
      <c r="B1601" s="5"/>
      <c r="C1601" s="17"/>
      <c r="D1601" s="32"/>
    </row>
    <row r="1602" spans="2:4" x14ac:dyDescent="0.2">
      <c r="B1602" s="5"/>
      <c r="C1602" s="17"/>
      <c r="D1602" s="32"/>
    </row>
    <row r="1603" spans="2:4" x14ac:dyDescent="0.2">
      <c r="B1603" s="5"/>
      <c r="C1603" s="17"/>
      <c r="D1603" s="32"/>
    </row>
    <row r="1604" spans="2:4" x14ac:dyDescent="0.2">
      <c r="B1604" s="5"/>
      <c r="C1604" s="17"/>
      <c r="D1604" s="32"/>
    </row>
    <row r="1605" spans="2:4" x14ac:dyDescent="0.2">
      <c r="B1605" s="5"/>
      <c r="C1605" s="17"/>
      <c r="D1605" s="32"/>
    </row>
    <row r="1606" spans="2:4" x14ac:dyDescent="0.2">
      <c r="B1606" s="5"/>
      <c r="C1606" s="17"/>
      <c r="D1606" s="32"/>
    </row>
    <row r="1607" spans="2:4" x14ac:dyDescent="0.2">
      <c r="B1607" s="5"/>
      <c r="C1607" s="17"/>
      <c r="D1607" s="32"/>
    </row>
    <row r="1608" spans="2:4" x14ac:dyDescent="0.2">
      <c r="B1608" s="5"/>
      <c r="C1608" s="17"/>
      <c r="D1608" s="32"/>
    </row>
    <row r="1609" spans="2:4" x14ac:dyDescent="0.2">
      <c r="B1609" s="5"/>
      <c r="C1609" s="17"/>
      <c r="D1609" s="32"/>
    </row>
    <row r="1610" spans="2:4" x14ac:dyDescent="0.2">
      <c r="B1610" s="5"/>
      <c r="C1610" s="17"/>
      <c r="D1610" s="32"/>
    </row>
    <row r="1611" spans="2:4" x14ac:dyDescent="0.2">
      <c r="B1611" s="5"/>
      <c r="C1611" s="17"/>
      <c r="D1611" s="32"/>
    </row>
    <row r="1612" spans="2:4" x14ac:dyDescent="0.2">
      <c r="B1612" s="5"/>
      <c r="C1612" s="17"/>
      <c r="D1612" s="32"/>
    </row>
    <row r="1613" spans="2:4" x14ac:dyDescent="0.2">
      <c r="B1613" s="5"/>
      <c r="C1613" s="17"/>
      <c r="D1613" s="32"/>
    </row>
    <row r="1614" spans="2:4" x14ac:dyDescent="0.2">
      <c r="B1614" s="5"/>
      <c r="C1614" s="17"/>
      <c r="D1614" s="32"/>
    </row>
    <row r="1615" spans="2:4" x14ac:dyDescent="0.2">
      <c r="B1615" s="5"/>
      <c r="C1615" s="17"/>
      <c r="D1615" s="32"/>
    </row>
    <row r="1616" spans="2:4" x14ac:dyDescent="0.2">
      <c r="B1616" s="5"/>
      <c r="C1616" s="17"/>
      <c r="D1616" s="32"/>
    </row>
    <row r="1617" spans="2:4" x14ac:dyDescent="0.2">
      <c r="B1617" s="5"/>
      <c r="C1617" s="17"/>
      <c r="D1617" s="32"/>
    </row>
    <row r="1618" spans="2:4" x14ac:dyDescent="0.2">
      <c r="B1618" s="5"/>
      <c r="C1618" s="17"/>
      <c r="D1618" s="32"/>
    </row>
    <row r="1619" spans="2:4" x14ac:dyDescent="0.2">
      <c r="B1619" s="5"/>
      <c r="C1619" s="17"/>
      <c r="D1619" s="32"/>
    </row>
    <row r="1620" spans="2:4" x14ac:dyDescent="0.2">
      <c r="B1620" s="5"/>
      <c r="C1620" s="17"/>
      <c r="D1620" s="32"/>
    </row>
    <row r="1621" spans="2:4" x14ac:dyDescent="0.2">
      <c r="B1621" s="5"/>
      <c r="C1621" s="17"/>
      <c r="D1621" s="32"/>
    </row>
    <row r="1622" spans="2:4" x14ac:dyDescent="0.2">
      <c r="B1622" s="5"/>
      <c r="C1622" s="17"/>
      <c r="D1622" s="32"/>
    </row>
    <row r="1623" spans="2:4" x14ac:dyDescent="0.2">
      <c r="B1623" s="5"/>
      <c r="C1623" s="17"/>
      <c r="D1623" s="32"/>
    </row>
    <row r="1624" spans="2:4" x14ac:dyDescent="0.2">
      <c r="B1624" s="5"/>
      <c r="C1624" s="17"/>
      <c r="D1624" s="32"/>
    </row>
    <row r="1625" spans="2:4" x14ac:dyDescent="0.2">
      <c r="B1625" s="5"/>
      <c r="C1625" s="17"/>
      <c r="D1625" s="32"/>
    </row>
    <row r="1626" spans="2:4" x14ac:dyDescent="0.2">
      <c r="B1626" s="5"/>
      <c r="C1626" s="17"/>
      <c r="D1626" s="32"/>
    </row>
    <row r="1627" spans="2:4" x14ac:dyDescent="0.2">
      <c r="B1627" s="5"/>
      <c r="C1627" s="17"/>
      <c r="D1627" s="32"/>
    </row>
    <row r="1628" spans="2:4" x14ac:dyDescent="0.2">
      <c r="B1628" s="5"/>
      <c r="C1628" s="17"/>
      <c r="D1628" s="32"/>
    </row>
    <row r="1629" spans="2:4" x14ac:dyDescent="0.2">
      <c r="B1629" s="5"/>
      <c r="C1629" s="17"/>
      <c r="D1629" s="32"/>
    </row>
    <row r="1630" spans="2:4" x14ac:dyDescent="0.2">
      <c r="B1630" s="5"/>
      <c r="C1630" s="17"/>
      <c r="D1630" s="32"/>
    </row>
    <row r="1631" spans="2:4" x14ac:dyDescent="0.2">
      <c r="B1631" s="5"/>
      <c r="C1631" s="17"/>
      <c r="D1631" s="32"/>
    </row>
    <row r="1632" spans="2:4" x14ac:dyDescent="0.2">
      <c r="B1632" s="5"/>
      <c r="C1632" s="17"/>
      <c r="D1632" s="32"/>
    </row>
    <row r="1633" spans="2:4" x14ac:dyDescent="0.2">
      <c r="B1633" s="5"/>
      <c r="C1633" s="17"/>
      <c r="D1633" s="32"/>
    </row>
    <row r="1634" spans="2:4" x14ac:dyDescent="0.2">
      <c r="B1634" s="5"/>
      <c r="C1634" s="17"/>
      <c r="D1634" s="32"/>
    </row>
    <row r="1635" spans="2:4" x14ac:dyDescent="0.2">
      <c r="B1635" s="5"/>
      <c r="C1635" s="17"/>
      <c r="D1635" s="32"/>
    </row>
    <row r="1636" spans="2:4" x14ac:dyDescent="0.2">
      <c r="B1636" s="5"/>
      <c r="C1636" s="17"/>
      <c r="D1636" s="32"/>
    </row>
    <row r="1637" spans="2:4" x14ac:dyDescent="0.2">
      <c r="B1637" s="5"/>
      <c r="C1637" s="17"/>
      <c r="D1637" s="32"/>
    </row>
    <row r="1638" spans="2:4" x14ac:dyDescent="0.2">
      <c r="B1638" s="5"/>
      <c r="C1638" s="17"/>
      <c r="D1638" s="32"/>
    </row>
    <row r="1639" spans="2:4" x14ac:dyDescent="0.2">
      <c r="B1639" s="5"/>
      <c r="C1639" s="17"/>
      <c r="D1639" s="32"/>
    </row>
    <row r="1640" spans="2:4" x14ac:dyDescent="0.2">
      <c r="B1640" s="5"/>
      <c r="C1640" s="17"/>
      <c r="D1640" s="32"/>
    </row>
    <row r="1641" spans="2:4" x14ac:dyDescent="0.2">
      <c r="B1641" s="5"/>
      <c r="C1641" s="17"/>
      <c r="D1641" s="32"/>
    </row>
    <row r="1642" spans="2:4" x14ac:dyDescent="0.2">
      <c r="B1642" s="5"/>
      <c r="C1642" s="17"/>
      <c r="D1642" s="32"/>
    </row>
    <row r="1643" spans="2:4" x14ac:dyDescent="0.2">
      <c r="B1643" s="5"/>
      <c r="C1643" s="17"/>
      <c r="D1643" s="32"/>
    </row>
    <row r="1644" spans="2:4" x14ac:dyDescent="0.2">
      <c r="B1644" s="5"/>
      <c r="C1644" s="17"/>
      <c r="D1644" s="32"/>
    </row>
    <row r="1645" spans="2:4" x14ac:dyDescent="0.2">
      <c r="B1645" s="5"/>
      <c r="C1645" s="17"/>
      <c r="D1645" s="32"/>
    </row>
    <row r="1646" spans="2:4" x14ac:dyDescent="0.2">
      <c r="B1646" s="5"/>
      <c r="C1646" s="17"/>
      <c r="D1646" s="32"/>
    </row>
    <row r="1647" spans="2:4" x14ac:dyDescent="0.2">
      <c r="B1647" s="5"/>
      <c r="C1647" s="17"/>
      <c r="D1647" s="32"/>
    </row>
    <row r="1648" spans="2:4" x14ac:dyDescent="0.2">
      <c r="B1648" s="5"/>
      <c r="C1648" s="17"/>
      <c r="D1648" s="32"/>
    </row>
    <row r="1649" spans="2:4" x14ac:dyDescent="0.2">
      <c r="B1649" s="5"/>
      <c r="C1649" s="17"/>
      <c r="D1649" s="32"/>
    </row>
    <row r="1650" spans="2:4" x14ac:dyDescent="0.2">
      <c r="B1650" s="5"/>
      <c r="C1650" s="17"/>
      <c r="D1650" s="32"/>
    </row>
    <row r="1651" spans="2:4" x14ac:dyDescent="0.2">
      <c r="B1651" s="5"/>
      <c r="C1651" s="17"/>
      <c r="D1651" s="32"/>
    </row>
    <row r="1652" spans="2:4" x14ac:dyDescent="0.2">
      <c r="B1652" s="5"/>
      <c r="C1652" s="17"/>
      <c r="D1652" s="32"/>
    </row>
    <row r="1653" spans="2:4" x14ac:dyDescent="0.2">
      <c r="B1653" s="5"/>
      <c r="C1653" s="17"/>
      <c r="D1653" s="32"/>
    </row>
    <row r="1654" spans="2:4" x14ac:dyDescent="0.2">
      <c r="B1654" s="5"/>
      <c r="C1654" s="17"/>
      <c r="D1654" s="32"/>
    </row>
    <row r="1655" spans="2:4" x14ac:dyDescent="0.2">
      <c r="B1655" s="5"/>
      <c r="C1655" s="17"/>
      <c r="D1655" s="32"/>
    </row>
    <row r="1656" spans="2:4" x14ac:dyDescent="0.2">
      <c r="B1656" s="5"/>
      <c r="C1656" s="17"/>
      <c r="D1656" s="32"/>
    </row>
    <row r="1657" spans="2:4" x14ac:dyDescent="0.2">
      <c r="B1657" s="5"/>
      <c r="C1657" s="17"/>
      <c r="D1657" s="32"/>
    </row>
    <row r="1658" spans="2:4" x14ac:dyDescent="0.2">
      <c r="B1658" s="5"/>
      <c r="C1658" s="17"/>
      <c r="D1658" s="32"/>
    </row>
    <row r="1659" spans="2:4" x14ac:dyDescent="0.2">
      <c r="B1659" s="5"/>
      <c r="C1659" s="17"/>
      <c r="D1659" s="32"/>
    </row>
    <row r="1660" spans="2:4" x14ac:dyDescent="0.2">
      <c r="B1660" s="5"/>
      <c r="C1660" s="17"/>
      <c r="D1660" s="32"/>
    </row>
    <row r="1661" spans="2:4" x14ac:dyDescent="0.2">
      <c r="B1661" s="5"/>
      <c r="C1661" s="17"/>
      <c r="D1661" s="32"/>
    </row>
    <row r="1662" spans="2:4" x14ac:dyDescent="0.2">
      <c r="B1662" s="5"/>
      <c r="C1662" s="17"/>
      <c r="D1662" s="32"/>
    </row>
    <row r="1663" spans="2:4" x14ac:dyDescent="0.2">
      <c r="B1663" s="5"/>
      <c r="C1663" s="17"/>
      <c r="D1663" s="32"/>
    </row>
    <row r="1664" spans="2:4" x14ac:dyDescent="0.2">
      <c r="B1664" s="5"/>
      <c r="C1664" s="17"/>
      <c r="D1664" s="32"/>
    </row>
    <row r="1665" spans="2:4" x14ac:dyDescent="0.2">
      <c r="B1665" s="5"/>
      <c r="C1665" s="17"/>
      <c r="D1665" s="32"/>
    </row>
    <row r="1666" spans="2:4" x14ac:dyDescent="0.2">
      <c r="B1666" s="5"/>
      <c r="C1666" s="17"/>
      <c r="D1666" s="32"/>
    </row>
    <row r="1667" spans="2:4" x14ac:dyDescent="0.2">
      <c r="B1667" s="5"/>
      <c r="C1667" s="17"/>
      <c r="D1667" s="32"/>
    </row>
    <row r="1668" spans="2:4" x14ac:dyDescent="0.2">
      <c r="B1668" s="5"/>
      <c r="C1668" s="17"/>
      <c r="D1668" s="32"/>
    </row>
    <row r="1669" spans="2:4" x14ac:dyDescent="0.2">
      <c r="B1669" s="5"/>
      <c r="C1669" s="17"/>
      <c r="D1669" s="32"/>
    </row>
    <row r="1670" spans="2:4" x14ac:dyDescent="0.2">
      <c r="B1670" s="5"/>
      <c r="C1670" s="17"/>
      <c r="D1670" s="32"/>
    </row>
    <row r="1671" spans="2:4" x14ac:dyDescent="0.2">
      <c r="B1671" s="5"/>
      <c r="C1671" s="17"/>
      <c r="D1671" s="32"/>
    </row>
    <row r="1672" spans="2:4" x14ac:dyDescent="0.2">
      <c r="B1672" s="5"/>
      <c r="C1672" s="17"/>
      <c r="D1672" s="32"/>
    </row>
    <row r="1673" spans="2:4" x14ac:dyDescent="0.2">
      <c r="B1673" s="5"/>
      <c r="C1673" s="17"/>
      <c r="D1673" s="32"/>
    </row>
    <row r="1674" spans="2:4" x14ac:dyDescent="0.2">
      <c r="B1674" s="5"/>
      <c r="C1674" s="17"/>
      <c r="D1674" s="32"/>
    </row>
    <row r="1675" spans="2:4" x14ac:dyDescent="0.2">
      <c r="B1675" s="5"/>
      <c r="C1675" s="17"/>
      <c r="D1675" s="32"/>
    </row>
    <row r="1676" spans="2:4" x14ac:dyDescent="0.2">
      <c r="B1676" s="5"/>
      <c r="C1676" s="17"/>
      <c r="D1676" s="32"/>
    </row>
    <row r="1677" spans="2:4" x14ac:dyDescent="0.2">
      <c r="B1677" s="5"/>
      <c r="C1677" s="17"/>
      <c r="D1677" s="32"/>
    </row>
    <row r="1678" spans="2:4" x14ac:dyDescent="0.2">
      <c r="B1678" s="5"/>
      <c r="C1678" s="17"/>
      <c r="D1678" s="32"/>
    </row>
    <row r="1679" spans="2:4" x14ac:dyDescent="0.2">
      <c r="B1679" s="5"/>
      <c r="C1679" s="17"/>
      <c r="D1679" s="32"/>
    </row>
    <row r="1680" spans="2:4" x14ac:dyDescent="0.2">
      <c r="B1680" s="5"/>
      <c r="C1680" s="17"/>
      <c r="D1680" s="32"/>
    </row>
    <row r="1681" spans="2:4" x14ac:dyDescent="0.2">
      <c r="B1681" s="5"/>
      <c r="C1681" s="17"/>
      <c r="D1681" s="32"/>
    </row>
    <row r="1682" spans="2:4" x14ac:dyDescent="0.2">
      <c r="B1682" s="5"/>
      <c r="C1682" s="17"/>
      <c r="D1682" s="32"/>
    </row>
    <row r="1683" spans="2:4" x14ac:dyDescent="0.2">
      <c r="B1683" s="5"/>
      <c r="C1683" s="17"/>
      <c r="D1683" s="32"/>
    </row>
    <row r="1684" spans="2:4" x14ac:dyDescent="0.2">
      <c r="B1684" s="5"/>
      <c r="C1684" s="17"/>
      <c r="D1684" s="32"/>
    </row>
    <row r="1685" spans="2:4" x14ac:dyDescent="0.2">
      <c r="B1685" s="5"/>
      <c r="C1685" s="17"/>
      <c r="D1685" s="32"/>
    </row>
    <row r="1686" spans="2:4" x14ac:dyDescent="0.2">
      <c r="B1686" s="5"/>
      <c r="C1686" s="17"/>
      <c r="D1686" s="32"/>
    </row>
    <row r="1687" spans="2:4" x14ac:dyDescent="0.2">
      <c r="B1687" s="5"/>
      <c r="C1687" s="17"/>
      <c r="D1687" s="32"/>
    </row>
    <row r="1688" spans="2:4" x14ac:dyDescent="0.2">
      <c r="B1688" s="5"/>
      <c r="C1688" s="17"/>
      <c r="D1688" s="32"/>
    </row>
    <row r="1689" spans="2:4" x14ac:dyDescent="0.2">
      <c r="B1689" s="5"/>
      <c r="C1689" s="17"/>
      <c r="D1689" s="32"/>
    </row>
    <row r="1690" spans="2:4" x14ac:dyDescent="0.2">
      <c r="B1690" s="5"/>
      <c r="C1690" s="17"/>
      <c r="D1690" s="32"/>
    </row>
    <row r="1691" spans="2:4" x14ac:dyDescent="0.2">
      <c r="B1691" s="5"/>
      <c r="C1691" s="17"/>
      <c r="D1691" s="32"/>
    </row>
    <row r="1692" spans="2:4" x14ac:dyDescent="0.2">
      <c r="B1692" s="5"/>
      <c r="C1692" s="17"/>
      <c r="D1692" s="32"/>
    </row>
    <row r="1693" spans="2:4" x14ac:dyDescent="0.2">
      <c r="B1693" s="5"/>
      <c r="C1693" s="17"/>
      <c r="D1693" s="32"/>
    </row>
    <row r="1694" spans="2:4" x14ac:dyDescent="0.2">
      <c r="B1694" s="5"/>
      <c r="C1694" s="17"/>
      <c r="D1694" s="32"/>
    </row>
    <row r="1695" spans="2:4" x14ac:dyDescent="0.2">
      <c r="B1695" s="5"/>
      <c r="C1695" s="17"/>
      <c r="D1695" s="32"/>
    </row>
    <row r="1696" spans="2:4" x14ac:dyDescent="0.2">
      <c r="B1696" s="5"/>
      <c r="C1696" s="17"/>
      <c r="D1696" s="32"/>
    </row>
    <row r="1697" spans="2:4" x14ac:dyDescent="0.2">
      <c r="B1697" s="5"/>
      <c r="C1697" s="17"/>
      <c r="D1697" s="32"/>
    </row>
    <row r="1698" spans="2:4" x14ac:dyDescent="0.2">
      <c r="B1698" s="5"/>
      <c r="C1698" s="17"/>
      <c r="D1698" s="32"/>
    </row>
    <row r="1699" spans="2:4" x14ac:dyDescent="0.2">
      <c r="B1699" s="5"/>
      <c r="C1699" s="17"/>
      <c r="D1699" s="32"/>
    </row>
    <row r="1700" spans="2:4" x14ac:dyDescent="0.2">
      <c r="B1700" s="5"/>
      <c r="C1700" s="17"/>
      <c r="D1700" s="32"/>
    </row>
    <row r="1701" spans="2:4" x14ac:dyDescent="0.2">
      <c r="B1701" s="5"/>
      <c r="C1701" s="17"/>
      <c r="D1701" s="32"/>
    </row>
    <row r="1702" spans="2:4" x14ac:dyDescent="0.2">
      <c r="B1702" s="5"/>
      <c r="C1702" s="17"/>
      <c r="D1702" s="32"/>
    </row>
    <row r="1703" spans="2:4" x14ac:dyDescent="0.2">
      <c r="B1703" s="5"/>
      <c r="C1703" s="17"/>
      <c r="D1703" s="32"/>
    </row>
    <row r="1704" spans="2:4" x14ac:dyDescent="0.2">
      <c r="B1704" s="5"/>
      <c r="C1704" s="17"/>
      <c r="D1704" s="32"/>
    </row>
    <row r="1705" spans="2:4" x14ac:dyDescent="0.2">
      <c r="B1705" s="5"/>
      <c r="C1705" s="17"/>
      <c r="D1705" s="32"/>
    </row>
    <row r="1706" spans="2:4" x14ac:dyDescent="0.2">
      <c r="B1706" s="5"/>
      <c r="C1706" s="17"/>
      <c r="D1706" s="32"/>
    </row>
    <row r="1707" spans="2:4" x14ac:dyDescent="0.2">
      <c r="B1707" s="5"/>
      <c r="C1707" s="17"/>
      <c r="D1707" s="32"/>
    </row>
    <row r="1708" spans="2:4" x14ac:dyDescent="0.2">
      <c r="B1708" s="5"/>
      <c r="C1708" s="17"/>
      <c r="D1708" s="32"/>
    </row>
    <row r="1709" spans="2:4" x14ac:dyDescent="0.2">
      <c r="B1709" s="5"/>
      <c r="C1709" s="17"/>
      <c r="D1709" s="32"/>
    </row>
    <row r="1710" spans="2:4" x14ac:dyDescent="0.2">
      <c r="B1710" s="5"/>
      <c r="C1710" s="17"/>
      <c r="D1710" s="32"/>
    </row>
    <row r="1711" spans="2:4" x14ac:dyDescent="0.2">
      <c r="B1711" s="5"/>
      <c r="C1711" s="17"/>
      <c r="D1711" s="32"/>
    </row>
    <row r="1712" spans="2:4" x14ac:dyDescent="0.2">
      <c r="B1712" s="5"/>
      <c r="C1712" s="17"/>
      <c r="D1712" s="32"/>
    </row>
    <row r="1713" spans="2:4" x14ac:dyDescent="0.2">
      <c r="B1713" s="5"/>
      <c r="C1713" s="17"/>
      <c r="D1713" s="32"/>
    </row>
    <row r="1714" spans="2:4" x14ac:dyDescent="0.2">
      <c r="B1714" s="5"/>
      <c r="C1714" s="17"/>
      <c r="D1714" s="32"/>
    </row>
    <row r="1715" spans="2:4" x14ac:dyDescent="0.2">
      <c r="B1715" s="5"/>
      <c r="C1715" s="17"/>
      <c r="D1715" s="32"/>
    </row>
    <row r="1716" spans="2:4" x14ac:dyDescent="0.2">
      <c r="B1716" s="5"/>
      <c r="C1716" s="17"/>
      <c r="D1716" s="32"/>
    </row>
    <row r="1717" spans="2:4" x14ac:dyDescent="0.2">
      <c r="B1717" s="5"/>
      <c r="C1717" s="17"/>
      <c r="D1717" s="32"/>
    </row>
    <row r="1718" spans="2:4" x14ac:dyDescent="0.2">
      <c r="B1718" s="5"/>
      <c r="C1718" s="17"/>
      <c r="D1718" s="32"/>
    </row>
    <row r="1719" spans="2:4" x14ac:dyDescent="0.2">
      <c r="B1719" s="5"/>
      <c r="C1719" s="17"/>
      <c r="D1719" s="32"/>
    </row>
    <row r="1720" spans="2:4" x14ac:dyDescent="0.2">
      <c r="B1720" s="5"/>
      <c r="C1720" s="17"/>
      <c r="D1720" s="32"/>
    </row>
    <row r="1721" spans="2:4" x14ac:dyDescent="0.2">
      <c r="B1721" s="5"/>
      <c r="C1721" s="17"/>
      <c r="D1721" s="32"/>
    </row>
    <row r="1722" spans="2:4" x14ac:dyDescent="0.2">
      <c r="B1722" s="5"/>
      <c r="C1722" s="17"/>
      <c r="D1722" s="32"/>
    </row>
    <row r="1723" spans="2:4" x14ac:dyDescent="0.2">
      <c r="B1723" s="5"/>
      <c r="C1723" s="17"/>
      <c r="D1723" s="32"/>
    </row>
    <row r="1724" spans="2:4" x14ac:dyDescent="0.2">
      <c r="B1724" s="5"/>
      <c r="C1724" s="17"/>
      <c r="D1724" s="32"/>
    </row>
    <row r="1725" spans="2:4" x14ac:dyDescent="0.2">
      <c r="B1725" s="5"/>
      <c r="C1725" s="17"/>
      <c r="D1725" s="32"/>
    </row>
    <row r="1726" spans="2:4" x14ac:dyDescent="0.2">
      <c r="B1726" s="5"/>
      <c r="C1726" s="17"/>
      <c r="D1726" s="32"/>
    </row>
    <row r="1727" spans="2:4" x14ac:dyDescent="0.2">
      <c r="B1727" s="5"/>
      <c r="C1727" s="17"/>
      <c r="D1727" s="32"/>
    </row>
    <row r="1728" spans="2:4" x14ac:dyDescent="0.2">
      <c r="B1728" s="5"/>
      <c r="C1728" s="17"/>
      <c r="D1728" s="32"/>
    </row>
    <row r="1729" spans="2:4" x14ac:dyDescent="0.2">
      <c r="B1729" s="5"/>
      <c r="C1729" s="17"/>
      <c r="D1729" s="32"/>
    </row>
    <row r="1730" spans="2:4" x14ac:dyDescent="0.2">
      <c r="B1730" s="5"/>
      <c r="C1730" s="17"/>
      <c r="D1730" s="32"/>
    </row>
    <row r="1731" spans="2:4" x14ac:dyDescent="0.2">
      <c r="B1731" s="5"/>
      <c r="C1731" s="17"/>
      <c r="D1731" s="32"/>
    </row>
    <row r="1732" spans="2:4" x14ac:dyDescent="0.2">
      <c r="B1732" s="5"/>
      <c r="C1732" s="17"/>
      <c r="D1732" s="32"/>
    </row>
    <row r="1733" spans="2:4" x14ac:dyDescent="0.2">
      <c r="B1733" s="5"/>
      <c r="C1733" s="17"/>
      <c r="D1733" s="32"/>
    </row>
    <row r="1734" spans="2:4" x14ac:dyDescent="0.2">
      <c r="B1734" s="5"/>
      <c r="C1734" s="17"/>
      <c r="D1734" s="32"/>
    </row>
    <row r="1735" spans="2:4" x14ac:dyDescent="0.2">
      <c r="B1735" s="5"/>
      <c r="C1735" s="17"/>
      <c r="D1735" s="32"/>
    </row>
    <row r="1736" spans="2:4" x14ac:dyDescent="0.2">
      <c r="B1736" s="5"/>
      <c r="C1736" s="17"/>
      <c r="D1736" s="32"/>
    </row>
    <row r="1737" spans="2:4" x14ac:dyDescent="0.2">
      <c r="B1737" s="5"/>
      <c r="C1737" s="17"/>
      <c r="D1737" s="32"/>
    </row>
    <row r="1738" spans="2:4" x14ac:dyDescent="0.2">
      <c r="B1738" s="5"/>
      <c r="C1738" s="17"/>
      <c r="D1738" s="32"/>
    </row>
    <row r="1739" spans="2:4" x14ac:dyDescent="0.2">
      <c r="B1739" s="5"/>
      <c r="C1739" s="17"/>
      <c r="D1739" s="32"/>
    </row>
    <row r="1740" spans="2:4" x14ac:dyDescent="0.2">
      <c r="B1740" s="5"/>
      <c r="C1740" s="17"/>
      <c r="D1740" s="32"/>
    </row>
    <row r="1741" spans="2:4" x14ac:dyDescent="0.2">
      <c r="B1741" s="5"/>
      <c r="C1741" s="17"/>
      <c r="D1741" s="32"/>
    </row>
    <row r="1742" spans="2:4" x14ac:dyDescent="0.2">
      <c r="B1742" s="5"/>
      <c r="C1742" s="17"/>
      <c r="D1742" s="32"/>
    </row>
    <row r="1743" spans="2:4" x14ac:dyDescent="0.2">
      <c r="B1743" s="5"/>
      <c r="C1743" s="17"/>
      <c r="D1743" s="32"/>
    </row>
    <row r="1744" spans="2:4" x14ac:dyDescent="0.2">
      <c r="B1744" s="5"/>
      <c r="C1744" s="17"/>
      <c r="D1744" s="32"/>
    </row>
    <row r="1745" spans="2:4" x14ac:dyDescent="0.2">
      <c r="B1745" s="5"/>
      <c r="C1745" s="17"/>
      <c r="D1745" s="32"/>
    </row>
    <row r="1746" spans="2:4" x14ac:dyDescent="0.2">
      <c r="B1746" s="5"/>
      <c r="C1746" s="17"/>
      <c r="D1746" s="32"/>
    </row>
    <row r="1747" spans="2:4" x14ac:dyDescent="0.2">
      <c r="B1747" s="5"/>
      <c r="C1747" s="17"/>
      <c r="D1747" s="32"/>
    </row>
    <row r="1748" spans="2:4" x14ac:dyDescent="0.2">
      <c r="B1748" s="5"/>
      <c r="C1748" s="17"/>
      <c r="D1748" s="32"/>
    </row>
    <row r="1749" spans="2:4" x14ac:dyDescent="0.2">
      <c r="B1749" s="5"/>
      <c r="C1749" s="17"/>
      <c r="D1749" s="32"/>
    </row>
    <row r="1750" spans="2:4" x14ac:dyDescent="0.2">
      <c r="B1750" s="5"/>
      <c r="C1750" s="17"/>
      <c r="D1750" s="32"/>
    </row>
    <row r="1751" spans="2:4" x14ac:dyDescent="0.2">
      <c r="B1751" s="5"/>
      <c r="C1751" s="17"/>
      <c r="D1751" s="32"/>
    </row>
    <row r="1752" spans="2:4" x14ac:dyDescent="0.2">
      <c r="B1752" s="5"/>
      <c r="C1752" s="17"/>
      <c r="D1752" s="32"/>
    </row>
    <row r="1753" spans="2:4" x14ac:dyDescent="0.2">
      <c r="B1753" s="5"/>
      <c r="C1753" s="17"/>
      <c r="D1753" s="32"/>
    </row>
    <row r="1754" spans="2:4" x14ac:dyDescent="0.2">
      <c r="B1754" s="5"/>
      <c r="C1754" s="17"/>
      <c r="D1754" s="32"/>
    </row>
    <row r="1755" spans="2:4" x14ac:dyDescent="0.2">
      <c r="B1755" s="5"/>
      <c r="C1755" s="17"/>
      <c r="D1755" s="32"/>
    </row>
    <row r="1756" spans="2:4" x14ac:dyDescent="0.2">
      <c r="B1756" s="5"/>
      <c r="C1756" s="17"/>
      <c r="D1756" s="32"/>
    </row>
    <row r="1757" spans="2:4" x14ac:dyDescent="0.2">
      <c r="B1757" s="5"/>
      <c r="C1757" s="17"/>
      <c r="D1757" s="32"/>
    </row>
    <row r="1758" spans="2:4" x14ac:dyDescent="0.2">
      <c r="B1758" s="5"/>
      <c r="C1758" s="17"/>
      <c r="D1758" s="32"/>
    </row>
    <row r="1759" spans="2:4" x14ac:dyDescent="0.2">
      <c r="B1759" s="5"/>
      <c r="C1759" s="17"/>
      <c r="D1759" s="32"/>
    </row>
    <row r="1760" spans="2:4" x14ac:dyDescent="0.2">
      <c r="B1760" s="5"/>
      <c r="C1760" s="17"/>
      <c r="D1760" s="32"/>
    </row>
    <row r="1761" spans="2:4" x14ac:dyDescent="0.2">
      <c r="B1761" s="5"/>
      <c r="C1761" s="17"/>
      <c r="D1761" s="32"/>
    </row>
    <row r="1762" spans="2:4" x14ac:dyDescent="0.2">
      <c r="B1762" s="5"/>
      <c r="C1762" s="17"/>
      <c r="D1762" s="32"/>
    </row>
    <row r="1763" spans="2:4" x14ac:dyDescent="0.2">
      <c r="B1763" s="5"/>
      <c r="C1763" s="17"/>
      <c r="D1763" s="32"/>
    </row>
    <row r="1764" spans="2:4" x14ac:dyDescent="0.2">
      <c r="B1764" s="5"/>
      <c r="C1764" s="17"/>
      <c r="D1764" s="32"/>
    </row>
    <row r="1765" spans="2:4" x14ac:dyDescent="0.2">
      <c r="B1765" s="5"/>
      <c r="C1765" s="17"/>
      <c r="D1765" s="32"/>
    </row>
    <row r="1766" spans="2:4" x14ac:dyDescent="0.2">
      <c r="B1766" s="5"/>
      <c r="C1766" s="17"/>
      <c r="D1766" s="32"/>
    </row>
    <row r="1767" spans="2:4" x14ac:dyDescent="0.2">
      <c r="B1767" s="5"/>
      <c r="C1767" s="17"/>
      <c r="D1767" s="32"/>
    </row>
    <row r="1768" spans="2:4" x14ac:dyDescent="0.2">
      <c r="B1768" s="5"/>
      <c r="C1768" s="17"/>
      <c r="D1768" s="32"/>
    </row>
    <row r="1769" spans="2:4" x14ac:dyDescent="0.2">
      <c r="B1769" s="5"/>
      <c r="C1769" s="17"/>
      <c r="D1769" s="32"/>
    </row>
    <row r="1770" spans="2:4" x14ac:dyDescent="0.2">
      <c r="B1770" s="5"/>
      <c r="C1770" s="17"/>
      <c r="D1770" s="32"/>
    </row>
    <row r="1771" spans="2:4" x14ac:dyDescent="0.2">
      <c r="B1771" s="5"/>
      <c r="C1771" s="17"/>
      <c r="D1771" s="32"/>
    </row>
    <row r="1772" spans="2:4" x14ac:dyDescent="0.2">
      <c r="B1772" s="5"/>
      <c r="C1772" s="17"/>
      <c r="D1772" s="32"/>
    </row>
    <row r="1773" spans="2:4" x14ac:dyDescent="0.2">
      <c r="B1773" s="5"/>
      <c r="C1773" s="17"/>
      <c r="D1773" s="32"/>
    </row>
    <row r="1774" spans="2:4" x14ac:dyDescent="0.2">
      <c r="B1774" s="5"/>
      <c r="C1774" s="17"/>
      <c r="D1774" s="32"/>
    </row>
    <row r="1775" spans="2:4" x14ac:dyDescent="0.2">
      <c r="B1775" s="5"/>
      <c r="C1775" s="17"/>
      <c r="D1775" s="32"/>
    </row>
    <row r="1776" spans="2:4" x14ac:dyDescent="0.2">
      <c r="B1776" s="5"/>
      <c r="C1776" s="17"/>
      <c r="D1776" s="32"/>
    </row>
    <row r="1777" spans="2:4" x14ac:dyDescent="0.2">
      <c r="B1777" s="5"/>
      <c r="C1777" s="17"/>
      <c r="D1777" s="32"/>
    </row>
    <row r="1778" spans="2:4" x14ac:dyDescent="0.2">
      <c r="B1778" s="5"/>
      <c r="C1778" s="17"/>
      <c r="D1778" s="32"/>
    </row>
    <row r="1779" spans="2:4" x14ac:dyDescent="0.2">
      <c r="B1779" s="5"/>
      <c r="C1779" s="17"/>
      <c r="D1779" s="32"/>
    </row>
    <row r="1780" spans="2:4" x14ac:dyDescent="0.2">
      <c r="B1780" s="5"/>
      <c r="C1780" s="17"/>
      <c r="D1780" s="32"/>
    </row>
    <row r="1781" spans="2:4" x14ac:dyDescent="0.2">
      <c r="B1781" s="5"/>
      <c r="C1781" s="17"/>
      <c r="D1781" s="32"/>
    </row>
    <row r="1782" spans="2:4" x14ac:dyDescent="0.2">
      <c r="B1782" s="5"/>
      <c r="C1782" s="17"/>
      <c r="D1782" s="32"/>
    </row>
    <row r="1783" spans="2:4" x14ac:dyDescent="0.2">
      <c r="B1783" s="5"/>
      <c r="C1783" s="17"/>
      <c r="D1783" s="32"/>
    </row>
    <row r="1784" spans="2:4" x14ac:dyDescent="0.2">
      <c r="B1784" s="5"/>
      <c r="C1784" s="17"/>
      <c r="D1784" s="32"/>
    </row>
    <row r="1785" spans="2:4" x14ac:dyDescent="0.2">
      <c r="B1785" s="5"/>
      <c r="C1785" s="17"/>
      <c r="D1785" s="32"/>
    </row>
    <row r="1786" spans="2:4" x14ac:dyDescent="0.2">
      <c r="B1786" s="5"/>
      <c r="C1786" s="17"/>
      <c r="D1786" s="32"/>
    </row>
    <row r="1787" spans="2:4" x14ac:dyDescent="0.2">
      <c r="B1787" s="5"/>
      <c r="C1787" s="17"/>
      <c r="D1787" s="32"/>
    </row>
    <row r="1788" spans="2:4" x14ac:dyDescent="0.2">
      <c r="B1788" s="5"/>
      <c r="C1788" s="17"/>
      <c r="D1788" s="32"/>
    </row>
    <row r="1789" spans="2:4" x14ac:dyDescent="0.2">
      <c r="B1789" s="5"/>
      <c r="C1789" s="17"/>
      <c r="D1789" s="32"/>
    </row>
    <row r="1790" spans="2:4" x14ac:dyDescent="0.2">
      <c r="B1790" s="5"/>
      <c r="C1790" s="17"/>
      <c r="D1790" s="32"/>
    </row>
    <row r="1791" spans="2:4" x14ac:dyDescent="0.2">
      <c r="B1791" s="5"/>
      <c r="C1791" s="17"/>
      <c r="D1791" s="32"/>
    </row>
    <row r="1792" spans="2:4" x14ac:dyDescent="0.2">
      <c r="B1792" s="5"/>
      <c r="C1792" s="17"/>
      <c r="D1792" s="32"/>
    </row>
    <row r="1793" spans="2:4" x14ac:dyDescent="0.2">
      <c r="B1793" s="5"/>
      <c r="C1793" s="17"/>
      <c r="D1793" s="32"/>
    </row>
    <row r="1794" spans="2:4" x14ac:dyDescent="0.2">
      <c r="B1794" s="5"/>
      <c r="C1794" s="17"/>
      <c r="D1794" s="32"/>
    </row>
    <row r="1795" spans="2:4" x14ac:dyDescent="0.2">
      <c r="B1795" s="5"/>
      <c r="C1795" s="17"/>
      <c r="D1795" s="32"/>
    </row>
    <row r="1796" spans="2:4" x14ac:dyDescent="0.2">
      <c r="B1796" s="5"/>
      <c r="C1796" s="17"/>
      <c r="D1796" s="32"/>
    </row>
    <row r="1797" spans="2:4" x14ac:dyDescent="0.2">
      <c r="B1797" s="5"/>
      <c r="C1797" s="17"/>
      <c r="D1797" s="32"/>
    </row>
    <row r="1798" spans="2:4" x14ac:dyDescent="0.2">
      <c r="B1798" s="5"/>
      <c r="C1798" s="17"/>
      <c r="D1798" s="32"/>
    </row>
    <row r="1799" spans="2:4" x14ac:dyDescent="0.2">
      <c r="B1799" s="5"/>
      <c r="C1799" s="17"/>
      <c r="D1799" s="32"/>
    </row>
    <row r="1800" spans="2:4" x14ac:dyDescent="0.2">
      <c r="B1800" s="5"/>
      <c r="C1800" s="17"/>
      <c r="D1800" s="32"/>
    </row>
    <row r="1801" spans="2:4" x14ac:dyDescent="0.2">
      <c r="B1801" s="5"/>
      <c r="C1801" s="17"/>
      <c r="D1801" s="32"/>
    </row>
    <row r="1802" spans="2:4" x14ac:dyDescent="0.2">
      <c r="B1802" s="5"/>
      <c r="C1802" s="17"/>
      <c r="D1802" s="32"/>
    </row>
    <row r="1803" spans="2:4" x14ac:dyDescent="0.2">
      <c r="B1803" s="5"/>
      <c r="C1803" s="17"/>
      <c r="D1803" s="32"/>
    </row>
    <row r="1804" spans="2:4" x14ac:dyDescent="0.2">
      <c r="B1804" s="5"/>
      <c r="C1804" s="17"/>
      <c r="D1804" s="32"/>
    </row>
    <row r="1805" spans="2:4" x14ac:dyDescent="0.2">
      <c r="B1805" s="5"/>
      <c r="C1805" s="17"/>
      <c r="D1805" s="32"/>
    </row>
    <row r="1806" spans="2:4" x14ac:dyDescent="0.2">
      <c r="B1806" s="5"/>
      <c r="C1806" s="17"/>
      <c r="D1806" s="32"/>
    </row>
    <row r="1807" spans="2:4" x14ac:dyDescent="0.2">
      <c r="B1807" s="5"/>
      <c r="C1807" s="17"/>
      <c r="D1807" s="32"/>
    </row>
    <row r="1808" spans="2:4" x14ac:dyDescent="0.2">
      <c r="B1808" s="5"/>
      <c r="C1808" s="17"/>
      <c r="D1808" s="32"/>
    </row>
    <row r="1809" spans="2:4" x14ac:dyDescent="0.2">
      <c r="B1809" s="5"/>
      <c r="C1809" s="17"/>
      <c r="D1809" s="32"/>
    </row>
    <row r="1810" spans="2:4" x14ac:dyDescent="0.2">
      <c r="B1810" s="5"/>
      <c r="C1810" s="17"/>
      <c r="D1810" s="32"/>
    </row>
    <row r="1811" spans="2:4" x14ac:dyDescent="0.2">
      <c r="B1811" s="5"/>
      <c r="C1811" s="17"/>
      <c r="D1811" s="32"/>
    </row>
    <row r="1812" spans="2:4" x14ac:dyDescent="0.2">
      <c r="B1812" s="5"/>
      <c r="C1812" s="17"/>
      <c r="D1812" s="32"/>
    </row>
    <row r="1813" spans="2:4" x14ac:dyDescent="0.2">
      <c r="B1813" s="5"/>
      <c r="C1813" s="17"/>
      <c r="D1813" s="32"/>
    </row>
    <row r="1814" spans="2:4" x14ac:dyDescent="0.2">
      <c r="B1814" s="5"/>
      <c r="C1814" s="17"/>
      <c r="D1814" s="32"/>
    </row>
    <row r="1815" spans="2:4" x14ac:dyDescent="0.2">
      <c r="B1815" s="5"/>
      <c r="C1815" s="17"/>
      <c r="D1815" s="32"/>
    </row>
    <row r="1816" spans="2:4" x14ac:dyDescent="0.2">
      <c r="B1816" s="5"/>
      <c r="C1816" s="17"/>
      <c r="D1816" s="32"/>
    </row>
    <row r="1817" spans="2:4" x14ac:dyDescent="0.2">
      <c r="B1817" s="5"/>
      <c r="C1817" s="17"/>
      <c r="D1817" s="32"/>
    </row>
    <row r="1818" spans="2:4" x14ac:dyDescent="0.2">
      <c r="B1818" s="5"/>
      <c r="C1818" s="17"/>
      <c r="D1818" s="32"/>
    </row>
    <row r="1819" spans="2:4" x14ac:dyDescent="0.2">
      <c r="B1819" s="5"/>
      <c r="C1819" s="17"/>
      <c r="D1819" s="32"/>
    </row>
    <row r="1820" spans="2:4" x14ac:dyDescent="0.2">
      <c r="B1820" s="5"/>
      <c r="C1820" s="17"/>
      <c r="D1820" s="32"/>
    </row>
    <row r="1821" spans="2:4" x14ac:dyDescent="0.2">
      <c r="B1821" s="5"/>
      <c r="C1821" s="17"/>
      <c r="D1821" s="32"/>
    </row>
    <row r="1822" spans="2:4" x14ac:dyDescent="0.2">
      <c r="B1822" s="5"/>
      <c r="C1822" s="17"/>
      <c r="D1822" s="32"/>
    </row>
    <row r="1823" spans="2:4" x14ac:dyDescent="0.2">
      <c r="B1823" s="5"/>
      <c r="C1823" s="17"/>
      <c r="D1823" s="32"/>
    </row>
    <row r="1824" spans="2:4" x14ac:dyDescent="0.2">
      <c r="B1824" s="5"/>
      <c r="C1824" s="17"/>
      <c r="D1824" s="32"/>
    </row>
    <row r="1825" spans="2:4" x14ac:dyDescent="0.2">
      <c r="B1825" s="5"/>
      <c r="C1825" s="17"/>
      <c r="D1825" s="32"/>
    </row>
    <row r="1826" spans="2:4" x14ac:dyDescent="0.2">
      <c r="B1826" s="5"/>
      <c r="C1826" s="17"/>
      <c r="D1826" s="32"/>
    </row>
    <row r="1827" spans="2:4" x14ac:dyDescent="0.2">
      <c r="B1827" s="5"/>
      <c r="C1827" s="17"/>
      <c r="D1827" s="32"/>
    </row>
    <row r="1828" spans="2:4" x14ac:dyDescent="0.2">
      <c r="B1828" s="5"/>
      <c r="C1828" s="17"/>
      <c r="D1828" s="32"/>
    </row>
    <row r="1829" spans="2:4" x14ac:dyDescent="0.2">
      <c r="B1829" s="5"/>
      <c r="C1829" s="17"/>
      <c r="D1829" s="32"/>
    </row>
    <row r="1830" spans="2:4" x14ac:dyDescent="0.2">
      <c r="B1830" s="5"/>
      <c r="C1830" s="17"/>
      <c r="D1830" s="32"/>
    </row>
    <row r="1831" spans="2:4" x14ac:dyDescent="0.2">
      <c r="B1831" s="5"/>
      <c r="C1831" s="17"/>
      <c r="D1831" s="32"/>
    </row>
    <row r="1832" spans="2:4" x14ac:dyDescent="0.2">
      <c r="B1832" s="5"/>
      <c r="C1832" s="17"/>
      <c r="D1832" s="32"/>
    </row>
    <row r="1833" spans="2:4" x14ac:dyDescent="0.2">
      <c r="B1833" s="5"/>
      <c r="C1833" s="17"/>
      <c r="D1833" s="32"/>
    </row>
    <row r="1834" spans="2:4" x14ac:dyDescent="0.2">
      <c r="B1834" s="5"/>
      <c r="C1834" s="17"/>
      <c r="D1834" s="32"/>
    </row>
    <row r="1835" spans="2:4" x14ac:dyDescent="0.2">
      <c r="B1835" s="5"/>
      <c r="C1835" s="17"/>
      <c r="D1835" s="32"/>
    </row>
    <row r="1836" spans="2:4" x14ac:dyDescent="0.2">
      <c r="B1836" s="5"/>
      <c r="C1836" s="17"/>
      <c r="D1836" s="32"/>
    </row>
    <row r="1837" spans="2:4" x14ac:dyDescent="0.2">
      <c r="B1837" s="5"/>
      <c r="C1837" s="17"/>
      <c r="D1837" s="32"/>
    </row>
    <row r="1838" spans="2:4" x14ac:dyDescent="0.2">
      <c r="B1838" s="5"/>
      <c r="C1838" s="17"/>
      <c r="D1838" s="32"/>
    </row>
    <row r="1839" spans="2:4" x14ac:dyDescent="0.2">
      <c r="B1839" s="5"/>
      <c r="C1839" s="17"/>
      <c r="D1839" s="32"/>
    </row>
    <row r="1840" spans="2:4" x14ac:dyDescent="0.2">
      <c r="B1840" s="5"/>
      <c r="C1840" s="17"/>
      <c r="D1840" s="32"/>
    </row>
    <row r="1841" spans="2:4" x14ac:dyDescent="0.2">
      <c r="B1841" s="5"/>
      <c r="C1841" s="17"/>
      <c r="D1841" s="32"/>
    </row>
    <row r="1842" spans="2:4" x14ac:dyDescent="0.2">
      <c r="B1842" s="5"/>
      <c r="C1842" s="17"/>
      <c r="D1842" s="32"/>
    </row>
    <row r="1843" spans="2:4" x14ac:dyDescent="0.2">
      <c r="B1843" s="5"/>
      <c r="C1843" s="17"/>
      <c r="D1843" s="32"/>
    </row>
    <row r="1844" spans="2:4" x14ac:dyDescent="0.2">
      <c r="B1844" s="5"/>
      <c r="C1844" s="17"/>
      <c r="D1844" s="32"/>
    </row>
    <row r="1845" spans="2:4" x14ac:dyDescent="0.2">
      <c r="B1845" s="5"/>
      <c r="C1845" s="17"/>
      <c r="D1845" s="32"/>
    </row>
    <row r="1846" spans="2:4" x14ac:dyDescent="0.2">
      <c r="B1846" s="5"/>
      <c r="C1846" s="17"/>
      <c r="D1846" s="32"/>
    </row>
    <row r="1847" spans="2:4" x14ac:dyDescent="0.2">
      <c r="B1847" s="5"/>
      <c r="C1847" s="17"/>
      <c r="D1847" s="32"/>
    </row>
    <row r="1848" spans="2:4" x14ac:dyDescent="0.2">
      <c r="B1848" s="5"/>
      <c r="C1848" s="17"/>
      <c r="D1848" s="32"/>
    </row>
    <row r="1849" spans="2:4" x14ac:dyDescent="0.2">
      <c r="B1849" s="5"/>
      <c r="C1849" s="17"/>
      <c r="D1849" s="32"/>
    </row>
    <row r="1850" spans="2:4" x14ac:dyDescent="0.2">
      <c r="B1850" s="5"/>
      <c r="C1850" s="17"/>
      <c r="D1850" s="32"/>
    </row>
    <row r="1851" spans="2:4" x14ac:dyDescent="0.2">
      <c r="B1851" s="5"/>
      <c r="C1851" s="17"/>
      <c r="D1851" s="32"/>
    </row>
    <row r="1852" spans="2:4" x14ac:dyDescent="0.2">
      <c r="B1852" s="5"/>
      <c r="C1852" s="17"/>
      <c r="D1852" s="32"/>
    </row>
    <row r="1853" spans="2:4" x14ac:dyDescent="0.2">
      <c r="B1853" s="5"/>
      <c r="C1853" s="17"/>
      <c r="D1853" s="32"/>
    </row>
    <row r="1854" spans="2:4" x14ac:dyDescent="0.2">
      <c r="B1854" s="5"/>
      <c r="C1854" s="17"/>
      <c r="D1854" s="32"/>
    </row>
    <row r="1855" spans="2:4" x14ac:dyDescent="0.2">
      <c r="B1855" s="5"/>
      <c r="C1855" s="17"/>
      <c r="D1855" s="32"/>
    </row>
    <row r="1856" spans="2:4" x14ac:dyDescent="0.2">
      <c r="B1856" s="5"/>
      <c r="C1856" s="17"/>
      <c r="D1856" s="32"/>
    </row>
    <row r="1857" spans="2:4" x14ac:dyDescent="0.2">
      <c r="B1857" s="5"/>
      <c r="C1857" s="17"/>
      <c r="D1857" s="32"/>
    </row>
    <row r="1858" spans="2:4" x14ac:dyDescent="0.2">
      <c r="B1858" s="5"/>
      <c r="C1858" s="17"/>
      <c r="D1858" s="32"/>
    </row>
    <row r="1859" spans="2:4" x14ac:dyDescent="0.2">
      <c r="B1859" s="5"/>
      <c r="C1859" s="17"/>
      <c r="D1859" s="32"/>
    </row>
    <row r="1860" spans="2:4" x14ac:dyDescent="0.2">
      <c r="B1860" s="5"/>
      <c r="C1860" s="17"/>
      <c r="D1860" s="32"/>
    </row>
    <row r="1861" spans="2:4" x14ac:dyDescent="0.2">
      <c r="B1861" s="5"/>
      <c r="C1861" s="17"/>
      <c r="D1861" s="32"/>
    </row>
    <row r="1862" spans="2:4" x14ac:dyDescent="0.2">
      <c r="B1862" s="5"/>
      <c r="C1862" s="17"/>
      <c r="D1862" s="32"/>
    </row>
    <row r="1863" spans="2:4" x14ac:dyDescent="0.2">
      <c r="B1863" s="5"/>
      <c r="C1863" s="17"/>
      <c r="D1863" s="32"/>
    </row>
    <row r="1864" spans="2:4" x14ac:dyDescent="0.2">
      <c r="B1864" s="5"/>
      <c r="C1864" s="17"/>
      <c r="D1864" s="32"/>
    </row>
    <row r="1865" spans="2:4" x14ac:dyDescent="0.2">
      <c r="B1865" s="5"/>
      <c r="C1865" s="17"/>
      <c r="D1865" s="32"/>
    </row>
    <row r="1866" spans="2:4" x14ac:dyDescent="0.2">
      <c r="B1866" s="5"/>
      <c r="C1866" s="17"/>
      <c r="D1866" s="32"/>
    </row>
    <row r="1867" spans="2:4" x14ac:dyDescent="0.2">
      <c r="B1867" s="5"/>
      <c r="C1867" s="17"/>
      <c r="D1867" s="32"/>
    </row>
    <row r="1868" spans="2:4" x14ac:dyDescent="0.2">
      <c r="B1868" s="5"/>
      <c r="C1868" s="17"/>
      <c r="D1868" s="32"/>
    </row>
    <row r="1869" spans="2:4" x14ac:dyDescent="0.2">
      <c r="B1869" s="5"/>
      <c r="C1869" s="17"/>
      <c r="D1869" s="32"/>
    </row>
    <row r="1870" spans="2:4" x14ac:dyDescent="0.2">
      <c r="B1870" s="5"/>
      <c r="C1870" s="17"/>
      <c r="D1870" s="32"/>
    </row>
    <row r="1871" spans="2:4" x14ac:dyDescent="0.2">
      <c r="B1871" s="5"/>
      <c r="C1871" s="17"/>
      <c r="D1871" s="32"/>
    </row>
    <row r="1872" spans="2:4" x14ac:dyDescent="0.2">
      <c r="B1872" s="5"/>
      <c r="C1872" s="17"/>
      <c r="D1872" s="32"/>
    </row>
    <row r="1873" spans="2:4" x14ac:dyDescent="0.2">
      <c r="B1873" s="5"/>
      <c r="C1873" s="17"/>
      <c r="D1873" s="32"/>
    </row>
    <row r="1874" spans="2:4" x14ac:dyDescent="0.2">
      <c r="B1874" s="5"/>
      <c r="C1874" s="17"/>
      <c r="D1874" s="32"/>
    </row>
    <row r="1875" spans="2:4" x14ac:dyDescent="0.2">
      <c r="B1875" s="5"/>
      <c r="C1875" s="17"/>
      <c r="D1875" s="32"/>
    </row>
    <row r="1876" spans="2:4" x14ac:dyDescent="0.2">
      <c r="B1876" s="5"/>
      <c r="C1876" s="17"/>
      <c r="D1876" s="32"/>
    </row>
    <row r="1877" spans="2:4" x14ac:dyDescent="0.2">
      <c r="B1877" s="5"/>
      <c r="C1877" s="17"/>
      <c r="D1877" s="32"/>
    </row>
    <row r="1878" spans="2:4" x14ac:dyDescent="0.2">
      <c r="B1878" s="5"/>
      <c r="C1878" s="17"/>
      <c r="D1878" s="32"/>
    </row>
    <row r="1879" spans="2:4" x14ac:dyDescent="0.2">
      <c r="B1879" s="5"/>
      <c r="C1879" s="17"/>
      <c r="D1879" s="32"/>
    </row>
    <row r="1880" spans="2:4" x14ac:dyDescent="0.2">
      <c r="B1880" s="5"/>
      <c r="C1880" s="17"/>
      <c r="D1880" s="32"/>
    </row>
    <row r="1881" spans="2:4" x14ac:dyDescent="0.2">
      <c r="B1881" s="5"/>
      <c r="C1881" s="17"/>
      <c r="D1881" s="32"/>
    </row>
    <row r="1882" spans="2:4" x14ac:dyDescent="0.2">
      <c r="B1882" s="5"/>
      <c r="C1882" s="17"/>
      <c r="D1882" s="32"/>
    </row>
    <row r="1883" spans="2:4" x14ac:dyDescent="0.2">
      <c r="B1883" s="5"/>
      <c r="C1883" s="17"/>
      <c r="D1883" s="32"/>
    </row>
    <row r="1884" spans="2:4" x14ac:dyDescent="0.2">
      <c r="B1884" s="5"/>
      <c r="C1884" s="17"/>
      <c r="D1884" s="32"/>
    </row>
    <row r="1885" spans="2:4" x14ac:dyDescent="0.2">
      <c r="B1885" s="5"/>
      <c r="C1885" s="17"/>
      <c r="D1885" s="32"/>
    </row>
    <row r="1886" spans="2:4" x14ac:dyDescent="0.2">
      <c r="B1886" s="5"/>
      <c r="C1886" s="17"/>
      <c r="D1886" s="32"/>
    </row>
    <row r="1887" spans="2:4" x14ac:dyDescent="0.2">
      <c r="B1887" s="5"/>
      <c r="C1887" s="17"/>
      <c r="D1887" s="32"/>
    </row>
    <row r="1888" spans="2:4" x14ac:dyDescent="0.2">
      <c r="B1888" s="5"/>
      <c r="C1888" s="17"/>
      <c r="D1888" s="32"/>
    </row>
    <row r="1889" spans="2:4" x14ac:dyDescent="0.2">
      <c r="B1889" s="5"/>
      <c r="C1889" s="17"/>
      <c r="D1889" s="32"/>
    </row>
    <row r="1890" spans="2:4" x14ac:dyDescent="0.2">
      <c r="B1890" s="5"/>
      <c r="C1890" s="17"/>
      <c r="D1890" s="32"/>
    </row>
    <row r="1891" spans="2:4" x14ac:dyDescent="0.2">
      <c r="B1891" s="5"/>
      <c r="C1891" s="17"/>
      <c r="D1891" s="32"/>
    </row>
    <row r="1892" spans="2:4" x14ac:dyDescent="0.2">
      <c r="B1892" s="5"/>
      <c r="C1892" s="17"/>
      <c r="D1892" s="32"/>
    </row>
    <row r="1893" spans="2:4" x14ac:dyDescent="0.2">
      <c r="B1893" s="5"/>
      <c r="C1893" s="17"/>
      <c r="D1893" s="32"/>
    </row>
    <row r="1894" spans="2:4" x14ac:dyDescent="0.2">
      <c r="B1894" s="5"/>
      <c r="C1894" s="17"/>
      <c r="D1894" s="32"/>
    </row>
    <row r="1895" spans="2:4" x14ac:dyDescent="0.2">
      <c r="B1895" s="5"/>
      <c r="C1895" s="17"/>
      <c r="D1895" s="32"/>
    </row>
    <row r="1896" spans="2:4" x14ac:dyDescent="0.2">
      <c r="B1896" s="5"/>
      <c r="C1896" s="17"/>
      <c r="D1896" s="32"/>
    </row>
    <row r="1897" spans="2:4" x14ac:dyDescent="0.2">
      <c r="B1897" s="5"/>
      <c r="C1897" s="17"/>
      <c r="D1897" s="32"/>
    </row>
    <row r="1898" spans="2:4" x14ac:dyDescent="0.2">
      <c r="B1898" s="5"/>
      <c r="C1898" s="17"/>
      <c r="D1898" s="32"/>
    </row>
    <row r="1899" spans="2:4" x14ac:dyDescent="0.2">
      <c r="B1899" s="5"/>
      <c r="C1899" s="17"/>
      <c r="D1899" s="32"/>
    </row>
    <row r="1900" spans="2:4" x14ac:dyDescent="0.2">
      <c r="B1900" s="5"/>
      <c r="C1900" s="17"/>
      <c r="D1900" s="32"/>
    </row>
    <row r="1901" spans="2:4" x14ac:dyDescent="0.2">
      <c r="B1901" s="5"/>
      <c r="C1901" s="17"/>
      <c r="D1901" s="32"/>
    </row>
    <row r="1902" spans="2:4" x14ac:dyDescent="0.2">
      <c r="B1902" s="5"/>
      <c r="C1902" s="17"/>
      <c r="D1902" s="32"/>
    </row>
    <row r="1903" spans="2:4" x14ac:dyDescent="0.2">
      <c r="B1903" s="5"/>
      <c r="C1903" s="17"/>
      <c r="D1903" s="32"/>
    </row>
    <row r="1904" spans="2:4" x14ac:dyDescent="0.2">
      <c r="B1904" s="5"/>
      <c r="C1904" s="17"/>
      <c r="D1904" s="32"/>
    </row>
    <row r="1905" spans="2:4" x14ac:dyDescent="0.2">
      <c r="B1905" s="5"/>
      <c r="C1905" s="17"/>
      <c r="D1905" s="32"/>
    </row>
    <row r="1906" spans="2:4" x14ac:dyDescent="0.2">
      <c r="B1906" s="5"/>
      <c r="C1906" s="17"/>
      <c r="D1906" s="32"/>
    </row>
    <row r="1907" spans="2:4" x14ac:dyDescent="0.2">
      <c r="B1907" s="5"/>
      <c r="C1907" s="17"/>
      <c r="D1907" s="32"/>
    </row>
    <row r="1908" spans="2:4" x14ac:dyDescent="0.2">
      <c r="B1908" s="5"/>
      <c r="C1908" s="17"/>
      <c r="D1908" s="32"/>
    </row>
    <row r="1909" spans="2:4" x14ac:dyDescent="0.2">
      <c r="B1909" s="5"/>
      <c r="C1909" s="17"/>
      <c r="D1909" s="32"/>
    </row>
    <row r="1910" spans="2:4" x14ac:dyDescent="0.2">
      <c r="B1910" s="5"/>
      <c r="C1910" s="17"/>
      <c r="D1910" s="32"/>
    </row>
    <row r="1911" spans="2:4" x14ac:dyDescent="0.2">
      <c r="B1911" s="5"/>
      <c r="C1911" s="17"/>
      <c r="D1911" s="32"/>
    </row>
    <row r="1912" spans="2:4" x14ac:dyDescent="0.2">
      <c r="B1912" s="5"/>
      <c r="C1912" s="17"/>
      <c r="D1912" s="32"/>
    </row>
    <row r="1913" spans="2:4" x14ac:dyDescent="0.2">
      <c r="B1913" s="5"/>
      <c r="C1913" s="17"/>
      <c r="D1913" s="32"/>
    </row>
    <row r="1914" spans="2:4" x14ac:dyDescent="0.2">
      <c r="B1914" s="5"/>
      <c r="C1914" s="17"/>
      <c r="D1914" s="32"/>
    </row>
    <row r="1915" spans="2:4" x14ac:dyDescent="0.2">
      <c r="B1915" s="5"/>
      <c r="C1915" s="17"/>
      <c r="D1915" s="32"/>
    </row>
    <row r="1916" spans="2:4" x14ac:dyDescent="0.2">
      <c r="B1916" s="5"/>
      <c r="C1916" s="17"/>
      <c r="D1916" s="32"/>
    </row>
    <row r="1917" spans="2:4" x14ac:dyDescent="0.2">
      <c r="B1917" s="5"/>
      <c r="C1917" s="17"/>
      <c r="D1917" s="32"/>
    </row>
    <row r="1918" spans="2:4" x14ac:dyDescent="0.2">
      <c r="B1918" s="5"/>
      <c r="C1918" s="17"/>
      <c r="D1918" s="32"/>
    </row>
    <row r="1919" spans="2:4" x14ac:dyDescent="0.2">
      <c r="B1919" s="5"/>
      <c r="C1919" s="17"/>
      <c r="D1919" s="32"/>
    </row>
    <row r="1920" spans="2:4" x14ac:dyDescent="0.2">
      <c r="B1920" s="5"/>
      <c r="C1920" s="17"/>
      <c r="D1920" s="32"/>
    </row>
    <row r="1921" spans="2:4" x14ac:dyDescent="0.2">
      <c r="B1921" s="5"/>
      <c r="C1921" s="17"/>
      <c r="D1921" s="32"/>
    </row>
    <row r="1922" spans="2:4" x14ac:dyDescent="0.2">
      <c r="B1922" s="5"/>
      <c r="C1922" s="17"/>
      <c r="D1922" s="32"/>
    </row>
    <row r="1923" spans="2:4" x14ac:dyDescent="0.2">
      <c r="B1923" s="5"/>
      <c r="C1923" s="17"/>
      <c r="D1923" s="32"/>
    </row>
    <row r="1924" spans="2:4" x14ac:dyDescent="0.2">
      <c r="B1924" s="5"/>
      <c r="C1924" s="17"/>
      <c r="D1924" s="32"/>
    </row>
    <row r="1925" spans="2:4" x14ac:dyDescent="0.2">
      <c r="B1925" s="5"/>
      <c r="C1925" s="17"/>
      <c r="D1925" s="32"/>
    </row>
    <row r="1926" spans="2:4" x14ac:dyDescent="0.2">
      <c r="B1926" s="5"/>
      <c r="C1926" s="17"/>
      <c r="D1926" s="32"/>
    </row>
    <row r="1927" spans="2:4" x14ac:dyDescent="0.2">
      <c r="B1927" s="5"/>
      <c r="C1927" s="17"/>
      <c r="D1927" s="32"/>
    </row>
    <row r="1928" spans="2:4" x14ac:dyDescent="0.2">
      <c r="B1928" s="5"/>
      <c r="C1928" s="17"/>
      <c r="D1928" s="32"/>
    </row>
    <row r="1929" spans="2:4" x14ac:dyDescent="0.2">
      <c r="B1929" s="5"/>
      <c r="C1929" s="17"/>
      <c r="D1929" s="32"/>
    </row>
    <row r="1930" spans="2:4" x14ac:dyDescent="0.2">
      <c r="B1930" s="5"/>
      <c r="C1930" s="17"/>
      <c r="D1930" s="32"/>
    </row>
    <row r="1931" spans="2:4" x14ac:dyDescent="0.2">
      <c r="B1931" s="5"/>
      <c r="C1931" s="17"/>
      <c r="D1931" s="32"/>
    </row>
    <row r="1932" spans="2:4" x14ac:dyDescent="0.2">
      <c r="B1932" s="5"/>
      <c r="C1932" s="17"/>
      <c r="D1932" s="32"/>
    </row>
    <row r="1933" spans="2:4" x14ac:dyDescent="0.2">
      <c r="B1933" s="5"/>
      <c r="C1933" s="17"/>
      <c r="D1933" s="32"/>
    </row>
    <row r="1934" spans="2:4" x14ac:dyDescent="0.2">
      <c r="B1934" s="5"/>
      <c r="C1934" s="17"/>
      <c r="D1934" s="32"/>
    </row>
    <row r="1935" spans="2:4" x14ac:dyDescent="0.2">
      <c r="B1935" s="5"/>
      <c r="C1935" s="17"/>
      <c r="D1935" s="32"/>
    </row>
    <row r="1936" spans="2:4" x14ac:dyDescent="0.2">
      <c r="B1936" s="5"/>
      <c r="C1936" s="17"/>
      <c r="D1936" s="32"/>
    </row>
    <row r="1937" spans="2:4" x14ac:dyDescent="0.2">
      <c r="B1937" s="5"/>
      <c r="C1937" s="17"/>
      <c r="D1937" s="32"/>
    </row>
    <row r="1938" spans="2:4" x14ac:dyDescent="0.2">
      <c r="B1938" s="5"/>
      <c r="C1938" s="17"/>
      <c r="D1938" s="32"/>
    </row>
    <row r="1939" spans="2:4" x14ac:dyDescent="0.2">
      <c r="B1939" s="5"/>
      <c r="C1939" s="17"/>
      <c r="D1939" s="32"/>
    </row>
    <row r="1940" spans="2:4" x14ac:dyDescent="0.2">
      <c r="B1940" s="5"/>
      <c r="C1940" s="17"/>
      <c r="D1940" s="32"/>
    </row>
    <row r="1941" spans="2:4" x14ac:dyDescent="0.2">
      <c r="B1941" s="5"/>
      <c r="C1941" s="17"/>
      <c r="D1941" s="32"/>
    </row>
    <row r="1942" spans="2:4" x14ac:dyDescent="0.2">
      <c r="B1942" s="5"/>
      <c r="C1942" s="17"/>
      <c r="D1942" s="32"/>
    </row>
    <row r="1943" spans="2:4" x14ac:dyDescent="0.2">
      <c r="B1943" s="5"/>
      <c r="C1943" s="17"/>
      <c r="D1943" s="32"/>
    </row>
    <row r="1944" spans="2:4" x14ac:dyDescent="0.2">
      <c r="B1944" s="5"/>
      <c r="C1944" s="17"/>
      <c r="D1944" s="32"/>
    </row>
    <row r="1945" spans="2:4" x14ac:dyDescent="0.2">
      <c r="B1945" s="5"/>
      <c r="C1945" s="17"/>
      <c r="D1945" s="32"/>
    </row>
    <row r="1946" spans="2:4" x14ac:dyDescent="0.2">
      <c r="B1946" s="5"/>
      <c r="C1946" s="17"/>
      <c r="D1946" s="32"/>
    </row>
    <row r="1947" spans="2:4" x14ac:dyDescent="0.2">
      <c r="B1947" s="5"/>
      <c r="C1947" s="17"/>
      <c r="D1947" s="32"/>
    </row>
    <row r="1948" spans="2:4" x14ac:dyDescent="0.2">
      <c r="B1948" s="5"/>
      <c r="C1948" s="17"/>
      <c r="D1948" s="32"/>
    </row>
    <row r="1949" spans="2:4" x14ac:dyDescent="0.2">
      <c r="B1949" s="5"/>
      <c r="C1949" s="17"/>
      <c r="D1949" s="32"/>
    </row>
    <row r="1950" spans="2:4" x14ac:dyDescent="0.2">
      <c r="B1950" s="5"/>
      <c r="C1950" s="17"/>
      <c r="D1950" s="32"/>
    </row>
    <row r="1951" spans="2:4" x14ac:dyDescent="0.2">
      <c r="B1951" s="5"/>
      <c r="C1951" s="17"/>
      <c r="D1951" s="32"/>
    </row>
    <row r="1952" spans="2:4" x14ac:dyDescent="0.2">
      <c r="B1952" s="5"/>
      <c r="C1952" s="17"/>
      <c r="D1952" s="32"/>
    </row>
    <row r="1953" spans="2:4" x14ac:dyDescent="0.2">
      <c r="B1953" s="5"/>
      <c r="C1953" s="17"/>
      <c r="D1953" s="32"/>
    </row>
    <row r="1954" spans="2:4" x14ac:dyDescent="0.2">
      <c r="B1954" s="5"/>
      <c r="C1954" s="17"/>
      <c r="D1954" s="32"/>
    </row>
    <row r="1955" spans="2:4" x14ac:dyDescent="0.2">
      <c r="B1955" s="5"/>
      <c r="C1955" s="17"/>
      <c r="D1955" s="32"/>
    </row>
    <row r="1956" spans="2:4" x14ac:dyDescent="0.2">
      <c r="B1956" s="5"/>
      <c r="C1956" s="17"/>
      <c r="D1956" s="32"/>
    </row>
    <row r="1957" spans="2:4" x14ac:dyDescent="0.2">
      <c r="B1957" s="5"/>
      <c r="C1957" s="17"/>
      <c r="D1957" s="32"/>
    </row>
    <row r="1958" spans="2:4" x14ac:dyDescent="0.2">
      <c r="B1958" s="5"/>
      <c r="C1958" s="17"/>
      <c r="D1958" s="32"/>
    </row>
    <row r="1959" spans="2:4" x14ac:dyDescent="0.2">
      <c r="B1959" s="5"/>
      <c r="C1959" s="17"/>
      <c r="D1959" s="32"/>
    </row>
    <row r="1960" spans="2:4" x14ac:dyDescent="0.2">
      <c r="B1960" s="5"/>
      <c r="C1960" s="17"/>
      <c r="D1960" s="32"/>
    </row>
    <row r="1961" spans="2:4" x14ac:dyDescent="0.2">
      <c r="B1961" s="5"/>
      <c r="C1961" s="17"/>
      <c r="D1961" s="32"/>
    </row>
    <row r="1962" spans="2:4" x14ac:dyDescent="0.2">
      <c r="B1962" s="5"/>
      <c r="C1962" s="17"/>
      <c r="D1962" s="32"/>
    </row>
    <row r="1963" spans="2:4" x14ac:dyDescent="0.2">
      <c r="B1963" s="5"/>
      <c r="C1963" s="17"/>
      <c r="D1963" s="32"/>
    </row>
    <row r="1964" spans="2:4" x14ac:dyDescent="0.2">
      <c r="B1964" s="5"/>
      <c r="C1964" s="17"/>
      <c r="D1964" s="32"/>
    </row>
    <row r="1965" spans="2:4" x14ac:dyDescent="0.2">
      <c r="B1965" s="5"/>
      <c r="C1965" s="17"/>
      <c r="D1965" s="32"/>
    </row>
    <row r="1966" spans="2:4" x14ac:dyDescent="0.2">
      <c r="B1966" s="5"/>
      <c r="C1966" s="17"/>
      <c r="D1966" s="32"/>
    </row>
    <row r="1967" spans="2:4" x14ac:dyDescent="0.2">
      <c r="B1967" s="5"/>
      <c r="C1967" s="17"/>
      <c r="D1967" s="32"/>
    </row>
    <row r="1968" spans="2:4" x14ac:dyDescent="0.2">
      <c r="B1968" s="5"/>
      <c r="C1968" s="17"/>
      <c r="D1968" s="32"/>
    </row>
    <row r="1969" spans="2:4" x14ac:dyDescent="0.2">
      <c r="B1969" s="5"/>
      <c r="C1969" s="17"/>
      <c r="D1969" s="32"/>
    </row>
    <row r="1970" spans="2:4" x14ac:dyDescent="0.2">
      <c r="B1970" s="5"/>
      <c r="C1970" s="17"/>
      <c r="D1970" s="32"/>
    </row>
    <row r="1971" spans="2:4" x14ac:dyDescent="0.2">
      <c r="B1971" s="5"/>
      <c r="C1971" s="17"/>
      <c r="D1971" s="32"/>
    </row>
    <row r="1972" spans="2:4" x14ac:dyDescent="0.2">
      <c r="B1972" s="5"/>
      <c r="C1972" s="17"/>
      <c r="D1972" s="32"/>
    </row>
    <row r="1973" spans="2:4" x14ac:dyDescent="0.2">
      <c r="B1973" s="5"/>
      <c r="C1973" s="17"/>
      <c r="D1973" s="32"/>
    </row>
    <row r="1974" spans="2:4" x14ac:dyDescent="0.2">
      <c r="B1974" s="5"/>
      <c r="C1974" s="17"/>
      <c r="D1974" s="32"/>
    </row>
    <row r="1975" spans="2:4" x14ac:dyDescent="0.2">
      <c r="B1975" s="5"/>
      <c r="C1975" s="17"/>
      <c r="D1975" s="32"/>
    </row>
    <row r="1976" spans="2:4" x14ac:dyDescent="0.2">
      <c r="B1976" s="5"/>
      <c r="C1976" s="17"/>
      <c r="D1976" s="32"/>
    </row>
    <row r="1977" spans="2:4" x14ac:dyDescent="0.2">
      <c r="B1977" s="5"/>
      <c r="C1977" s="17"/>
      <c r="D1977" s="32"/>
    </row>
    <row r="1978" spans="2:4" x14ac:dyDescent="0.2">
      <c r="B1978" s="5"/>
      <c r="C1978" s="17"/>
      <c r="D1978" s="32"/>
    </row>
    <row r="1979" spans="2:4" x14ac:dyDescent="0.2">
      <c r="B1979" s="5"/>
      <c r="C1979" s="17"/>
      <c r="D1979" s="32"/>
    </row>
    <row r="1980" spans="2:4" x14ac:dyDescent="0.2">
      <c r="B1980" s="5"/>
      <c r="C1980" s="17"/>
      <c r="D1980" s="32"/>
    </row>
    <row r="1981" spans="2:4" x14ac:dyDescent="0.2">
      <c r="B1981" s="5"/>
      <c r="C1981" s="17"/>
      <c r="D1981" s="32"/>
    </row>
    <row r="1982" spans="2:4" x14ac:dyDescent="0.2">
      <c r="B1982" s="5"/>
      <c r="C1982" s="17"/>
      <c r="D1982" s="32"/>
    </row>
    <row r="1983" spans="2:4" x14ac:dyDescent="0.2">
      <c r="B1983" s="5"/>
      <c r="C1983" s="17"/>
      <c r="D1983" s="32"/>
    </row>
    <row r="1984" spans="2:4" x14ac:dyDescent="0.2">
      <c r="B1984" s="5"/>
      <c r="C1984" s="17"/>
      <c r="D1984" s="32"/>
    </row>
    <row r="1985" spans="2:4" x14ac:dyDescent="0.2">
      <c r="B1985" s="5"/>
      <c r="C1985" s="17"/>
      <c r="D1985" s="32"/>
    </row>
    <row r="1986" spans="2:4" x14ac:dyDescent="0.2">
      <c r="B1986" s="5"/>
      <c r="C1986" s="17"/>
      <c r="D1986" s="32"/>
    </row>
    <row r="1987" spans="2:4" x14ac:dyDescent="0.2">
      <c r="B1987" s="5"/>
      <c r="C1987" s="17"/>
      <c r="D1987" s="32"/>
    </row>
    <row r="1988" spans="2:4" x14ac:dyDescent="0.2">
      <c r="B1988" s="5"/>
      <c r="C1988" s="17"/>
      <c r="D1988" s="32"/>
    </row>
    <row r="1989" spans="2:4" x14ac:dyDescent="0.2">
      <c r="B1989" s="5"/>
      <c r="C1989" s="17"/>
      <c r="D1989" s="32"/>
    </row>
    <row r="1990" spans="2:4" x14ac:dyDescent="0.2">
      <c r="B1990" s="5"/>
      <c r="C1990" s="17"/>
      <c r="D1990" s="32"/>
    </row>
    <row r="1991" spans="2:4" x14ac:dyDescent="0.2">
      <c r="B1991" s="5"/>
      <c r="C1991" s="17"/>
      <c r="D1991" s="32"/>
    </row>
    <row r="1992" spans="2:4" x14ac:dyDescent="0.2">
      <c r="B1992" s="5"/>
      <c r="C1992" s="17"/>
      <c r="D1992" s="32"/>
    </row>
    <row r="1993" spans="2:4" x14ac:dyDescent="0.2">
      <c r="B1993" s="5"/>
      <c r="C1993" s="17"/>
      <c r="D1993" s="32"/>
    </row>
    <row r="1994" spans="2:4" x14ac:dyDescent="0.2">
      <c r="B1994" s="5"/>
      <c r="C1994" s="17"/>
      <c r="D1994" s="32"/>
    </row>
    <row r="1995" spans="2:4" x14ac:dyDescent="0.2">
      <c r="B1995" s="5"/>
      <c r="C1995" s="17"/>
      <c r="D1995" s="32"/>
    </row>
    <row r="1996" spans="2:4" x14ac:dyDescent="0.2">
      <c r="B1996" s="5"/>
      <c r="C1996" s="17"/>
      <c r="D1996" s="32"/>
    </row>
    <row r="1997" spans="2:4" x14ac:dyDescent="0.2">
      <c r="B1997" s="5"/>
      <c r="C1997" s="17"/>
      <c r="D1997" s="32"/>
    </row>
    <row r="1998" spans="2:4" x14ac:dyDescent="0.2">
      <c r="B1998" s="5"/>
      <c r="C1998" s="17"/>
      <c r="D1998" s="32"/>
    </row>
    <row r="1999" spans="2:4" x14ac:dyDescent="0.2">
      <c r="B1999" s="5"/>
      <c r="C1999" s="17"/>
      <c r="D1999" s="32"/>
    </row>
    <row r="2000" spans="2:4" x14ac:dyDescent="0.2">
      <c r="B2000" s="5"/>
      <c r="C2000" s="17"/>
      <c r="D2000" s="32"/>
    </row>
    <row r="2001" spans="2:4" x14ac:dyDescent="0.2">
      <c r="B2001" s="5"/>
      <c r="C2001" s="17"/>
      <c r="D2001" s="32"/>
    </row>
    <row r="2002" spans="2:4" x14ac:dyDescent="0.2">
      <c r="B2002" s="5"/>
      <c r="C2002" s="17"/>
      <c r="D2002" s="32"/>
    </row>
    <row r="2003" spans="2:4" x14ac:dyDescent="0.2">
      <c r="B2003" s="5"/>
      <c r="C2003" s="17"/>
      <c r="D2003" s="32"/>
    </row>
    <row r="2004" spans="2:4" x14ac:dyDescent="0.2">
      <c r="B2004" s="5"/>
      <c r="C2004" s="17"/>
      <c r="D2004" s="32"/>
    </row>
    <row r="2005" spans="2:4" x14ac:dyDescent="0.2">
      <c r="B2005" s="5"/>
      <c r="C2005" s="17"/>
      <c r="D2005" s="32"/>
    </row>
    <row r="2006" spans="2:4" x14ac:dyDescent="0.2">
      <c r="B2006" s="5"/>
      <c r="C2006" s="17"/>
      <c r="D2006" s="32"/>
    </row>
    <row r="2007" spans="2:4" x14ac:dyDescent="0.2">
      <c r="B2007" s="5"/>
      <c r="C2007" s="17"/>
      <c r="D2007" s="32"/>
    </row>
    <row r="2008" spans="2:4" x14ac:dyDescent="0.2">
      <c r="B2008" s="5"/>
      <c r="C2008" s="17"/>
      <c r="D2008" s="32"/>
    </row>
    <row r="2009" spans="2:4" x14ac:dyDescent="0.2">
      <c r="B2009" s="5"/>
      <c r="C2009" s="17"/>
      <c r="D2009" s="32"/>
    </row>
    <row r="2010" spans="2:4" x14ac:dyDescent="0.2">
      <c r="B2010" s="5"/>
      <c r="C2010" s="17"/>
      <c r="D2010" s="32"/>
    </row>
    <row r="2011" spans="2:4" x14ac:dyDescent="0.2">
      <c r="B2011" s="5"/>
      <c r="C2011" s="17"/>
      <c r="D2011" s="32"/>
    </row>
    <row r="2012" spans="2:4" x14ac:dyDescent="0.2">
      <c r="B2012" s="5"/>
      <c r="C2012" s="17"/>
      <c r="D2012" s="32"/>
    </row>
    <row r="2013" spans="2:4" x14ac:dyDescent="0.2">
      <c r="B2013" s="5"/>
      <c r="C2013" s="17"/>
      <c r="D2013" s="32"/>
    </row>
    <row r="2014" spans="2:4" x14ac:dyDescent="0.2">
      <c r="B2014" s="5"/>
      <c r="C2014" s="17"/>
      <c r="D2014" s="32"/>
    </row>
    <row r="2015" spans="2:4" x14ac:dyDescent="0.2">
      <c r="B2015" s="5"/>
      <c r="C2015" s="17"/>
      <c r="D2015" s="32"/>
    </row>
    <row r="2016" spans="2:4" x14ac:dyDescent="0.2">
      <c r="B2016" s="5"/>
      <c r="C2016" s="17"/>
      <c r="D2016" s="32"/>
    </row>
    <row r="2017" spans="2:4" x14ac:dyDescent="0.2">
      <c r="B2017" s="5"/>
      <c r="C2017" s="17"/>
      <c r="D2017" s="32"/>
    </row>
    <row r="2018" spans="2:4" x14ac:dyDescent="0.2">
      <c r="B2018" s="5"/>
      <c r="C2018" s="17"/>
      <c r="D2018" s="32"/>
    </row>
    <row r="2019" spans="2:4" x14ac:dyDescent="0.2">
      <c r="B2019" s="5"/>
      <c r="C2019" s="17"/>
      <c r="D2019" s="32"/>
    </row>
    <row r="2020" spans="2:4" x14ac:dyDescent="0.2">
      <c r="B2020" s="5"/>
      <c r="C2020" s="17"/>
      <c r="D2020" s="32"/>
    </row>
    <row r="2021" spans="2:4" x14ac:dyDescent="0.2">
      <c r="B2021" s="5"/>
      <c r="C2021" s="17"/>
      <c r="D2021" s="32"/>
    </row>
    <row r="2022" spans="2:4" x14ac:dyDescent="0.2">
      <c r="B2022" s="5"/>
      <c r="C2022" s="17"/>
      <c r="D2022" s="32"/>
    </row>
    <row r="2023" spans="2:4" x14ac:dyDescent="0.2">
      <c r="B2023" s="5"/>
      <c r="C2023" s="17"/>
      <c r="D2023" s="32"/>
    </row>
    <row r="2024" spans="2:4" x14ac:dyDescent="0.2">
      <c r="B2024" s="5"/>
      <c r="C2024" s="17"/>
      <c r="D2024" s="32"/>
    </row>
    <row r="2025" spans="2:4" x14ac:dyDescent="0.2">
      <c r="B2025" s="5"/>
      <c r="C2025" s="17"/>
      <c r="D2025" s="32"/>
    </row>
    <row r="2026" spans="2:4" x14ac:dyDescent="0.2">
      <c r="B2026" s="5"/>
      <c r="C2026" s="17"/>
      <c r="D2026" s="32"/>
    </row>
    <row r="2027" spans="2:4" x14ac:dyDescent="0.2">
      <c r="B2027" s="5"/>
      <c r="C2027" s="17"/>
      <c r="D2027" s="32"/>
    </row>
    <row r="2028" spans="2:4" x14ac:dyDescent="0.2">
      <c r="B2028" s="5"/>
      <c r="C2028" s="17"/>
      <c r="D2028" s="32"/>
    </row>
    <row r="2029" spans="2:4" x14ac:dyDescent="0.2">
      <c r="B2029" s="5"/>
      <c r="C2029" s="17"/>
      <c r="D2029" s="32"/>
    </row>
    <row r="2030" spans="2:4" x14ac:dyDescent="0.2">
      <c r="B2030" s="5"/>
      <c r="C2030" s="17"/>
      <c r="D2030" s="32"/>
    </row>
    <row r="2031" spans="2:4" x14ac:dyDescent="0.2">
      <c r="B2031" s="5"/>
      <c r="C2031" s="17"/>
      <c r="D2031" s="32"/>
    </row>
    <row r="2032" spans="2:4" x14ac:dyDescent="0.2">
      <c r="B2032" s="5"/>
      <c r="C2032" s="17"/>
      <c r="D2032" s="32"/>
    </row>
    <row r="2033" spans="2:4" x14ac:dyDescent="0.2">
      <c r="B2033" s="5"/>
      <c r="C2033" s="17"/>
      <c r="D2033" s="32"/>
    </row>
    <row r="2034" spans="2:4" x14ac:dyDescent="0.2">
      <c r="B2034" s="5"/>
      <c r="C2034" s="17"/>
      <c r="D2034" s="32"/>
    </row>
    <row r="2035" spans="2:4" x14ac:dyDescent="0.2">
      <c r="B2035" s="5"/>
      <c r="C2035" s="17"/>
      <c r="D2035" s="32"/>
    </row>
    <row r="2036" spans="2:4" x14ac:dyDescent="0.2">
      <c r="B2036" s="5"/>
      <c r="C2036" s="17"/>
      <c r="D2036" s="32"/>
    </row>
    <row r="2037" spans="2:4" x14ac:dyDescent="0.2">
      <c r="B2037" s="5"/>
      <c r="C2037" s="17"/>
      <c r="D2037" s="32"/>
    </row>
    <row r="2038" spans="2:4" x14ac:dyDescent="0.2">
      <c r="B2038" s="5"/>
      <c r="C2038" s="17"/>
      <c r="D2038" s="32"/>
    </row>
    <row r="2039" spans="2:4" x14ac:dyDescent="0.2">
      <c r="B2039" s="5"/>
      <c r="C2039" s="17"/>
      <c r="D2039" s="32"/>
    </row>
    <row r="2040" spans="2:4" x14ac:dyDescent="0.2">
      <c r="B2040" s="5"/>
      <c r="C2040" s="17"/>
      <c r="D2040" s="32"/>
    </row>
    <row r="2041" spans="2:4" x14ac:dyDescent="0.2">
      <c r="B2041" s="5"/>
      <c r="C2041" s="17"/>
      <c r="D2041" s="32"/>
    </row>
    <row r="2042" spans="2:4" x14ac:dyDescent="0.2">
      <c r="B2042" s="5"/>
      <c r="C2042" s="17"/>
      <c r="D2042" s="32"/>
    </row>
    <row r="2043" spans="2:4" x14ac:dyDescent="0.2">
      <c r="B2043" s="5"/>
      <c r="C2043" s="17"/>
      <c r="D2043" s="32"/>
    </row>
    <row r="2044" spans="2:4" x14ac:dyDescent="0.2">
      <c r="B2044" s="5"/>
      <c r="C2044" s="17"/>
      <c r="D2044" s="32"/>
    </row>
    <row r="2045" spans="2:4" x14ac:dyDescent="0.2">
      <c r="B2045" s="5"/>
      <c r="C2045" s="17"/>
      <c r="D2045" s="32"/>
    </row>
    <row r="2046" spans="2:4" x14ac:dyDescent="0.2">
      <c r="B2046" s="5"/>
      <c r="C2046" s="17"/>
      <c r="D2046" s="32"/>
    </row>
    <row r="2047" spans="2:4" x14ac:dyDescent="0.2">
      <c r="B2047" s="5"/>
      <c r="C2047" s="17"/>
      <c r="D2047" s="32"/>
    </row>
    <row r="2048" spans="2:4" x14ac:dyDescent="0.2">
      <c r="B2048" s="5"/>
      <c r="C2048" s="17"/>
      <c r="D2048" s="32"/>
    </row>
    <row r="2049" spans="2:4" x14ac:dyDescent="0.2">
      <c r="B2049" s="5"/>
      <c r="C2049" s="17"/>
      <c r="D2049" s="32"/>
    </row>
    <row r="2050" spans="2:4" x14ac:dyDescent="0.2">
      <c r="B2050" s="5"/>
      <c r="C2050" s="17"/>
      <c r="D2050" s="32"/>
    </row>
    <row r="2051" spans="2:4" x14ac:dyDescent="0.2">
      <c r="B2051" s="5"/>
      <c r="C2051" s="17"/>
      <c r="D2051" s="32"/>
    </row>
    <row r="2052" spans="2:4" x14ac:dyDescent="0.2">
      <c r="B2052" s="5"/>
      <c r="C2052" s="17"/>
      <c r="D2052" s="32"/>
    </row>
    <row r="2053" spans="2:4" x14ac:dyDescent="0.2">
      <c r="B2053" s="5"/>
      <c r="C2053" s="17"/>
      <c r="D2053" s="32"/>
    </row>
    <row r="2054" spans="2:4" x14ac:dyDescent="0.2">
      <c r="B2054" s="5"/>
      <c r="C2054" s="17"/>
      <c r="D2054" s="32"/>
    </row>
    <row r="2055" spans="2:4" x14ac:dyDescent="0.2">
      <c r="B2055" s="5"/>
      <c r="C2055" s="17"/>
      <c r="D2055" s="32"/>
    </row>
    <row r="2056" spans="2:4" x14ac:dyDescent="0.2">
      <c r="B2056" s="5"/>
      <c r="C2056" s="17"/>
      <c r="D2056" s="32"/>
    </row>
    <row r="2057" spans="2:4" x14ac:dyDescent="0.2">
      <c r="B2057" s="5"/>
      <c r="C2057" s="17"/>
      <c r="D2057" s="32"/>
    </row>
    <row r="2058" spans="2:4" x14ac:dyDescent="0.2">
      <c r="B2058" s="5"/>
      <c r="C2058" s="17"/>
      <c r="D2058" s="32"/>
    </row>
    <row r="2059" spans="2:4" x14ac:dyDescent="0.2">
      <c r="B2059" s="5"/>
      <c r="C2059" s="17"/>
      <c r="D2059" s="32"/>
    </row>
    <row r="2060" spans="2:4" x14ac:dyDescent="0.2">
      <c r="B2060" s="5"/>
      <c r="C2060" s="17"/>
      <c r="D2060" s="32"/>
    </row>
    <row r="2061" spans="2:4" x14ac:dyDescent="0.2">
      <c r="B2061" s="5"/>
      <c r="C2061" s="17"/>
      <c r="D2061" s="32"/>
    </row>
    <row r="2062" spans="2:4" x14ac:dyDescent="0.2">
      <c r="B2062" s="5"/>
      <c r="C2062" s="17"/>
      <c r="D2062" s="32"/>
    </row>
    <row r="2063" spans="2:4" x14ac:dyDescent="0.2">
      <c r="B2063" s="5"/>
      <c r="C2063" s="17"/>
      <c r="D2063" s="32"/>
    </row>
    <row r="2064" spans="2:4" x14ac:dyDescent="0.2">
      <c r="B2064" s="5"/>
      <c r="C2064" s="17"/>
      <c r="D2064" s="32"/>
    </row>
    <row r="2065" spans="2:4" x14ac:dyDescent="0.2">
      <c r="B2065" s="5"/>
      <c r="C2065" s="17"/>
      <c r="D2065" s="32"/>
    </row>
    <row r="2066" spans="2:4" x14ac:dyDescent="0.2">
      <c r="B2066" s="5"/>
      <c r="C2066" s="17"/>
      <c r="D2066" s="32"/>
    </row>
    <row r="2067" spans="2:4" x14ac:dyDescent="0.2">
      <c r="B2067" s="5"/>
      <c r="C2067" s="17"/>
      <c r="D2067" s="32"/>
    </row>
    <row r="2068" spans="2:4" x14ac:dyDescent="0.2">
      <c r="B2068" s="5"/>
      <c r="C2068" s="17"/>
      <c r="D2068" s="32"/>
    </row>
    <row r="2069" spans="2:4" x14ac:dyDescent="0.2">
      <c r="B2069" s="5"/>
      <c r="C2069" s="17"/>
      <c r="D2069" s="32"/>
    </row>
    <row r="2070" spans="2:4" x14ac:dyDescent="0.2">
      <c r="B2070" s="5"/>
      <c r="C2070" s="17"/>
      <c r="D2070" s="32"/>
    </row>
    <row r="2071" spans="2:4" x14ac:dyDescent="0.2">
      <c r="B2071" s="5"/>
      <c r="C2071" s="17"/>
      <c r="D2071" s="32"/>
    </row>
    <row r="2072" spans="2:4" x14ac:dyDescent="0.2">
      <c r="B2072" s="5"/>
      <c r="C2072" s="17"/>
      <c r="D2072" s="32"/>
    </row>
    <row r="2073" spans="2:4" x14ac:dyDescent="0.2">
      <c r="B2073" s="5"/>
      <c r="C2073" s="17"/>
      <c r="D2073" s="32"/>
    </row>
    <row r="2074" spans="2:4" x14ac:dyDescent="0.2">
      <c r="B2074" s="5"/>
      <c r="C2074" s="17"/>
      <c r="D2074" s="32"/>
    </row>
    <row r="2075" spans="2:4" x14ac:dyDescent="0.2">
      <c r="B2075" s="5"/>
      <c r="C2075" s="17"/>
      <c r="D2075" s="32"/>
    </row>
    <row r="2076" spans="2:4" x14ac:dyDescent="0.2">
      <c r="B2076" s="5"/>
      <c r="C2076" s="17"/>
      <c r="D2076" s="32"/>
    </row>
    <row r="2077" spans="2:4" x14ac:dyDescent="0.2">
      <c r="B2077" s="5"/>
      <c r="C2077" s="17"/>
      <c r="D2077" s="32"/>
    </row>
    <row r="2078" spans="2:4" x14ac:dyDescent="0.2">
      <c r="B2078" s="5"/>
      <c r="C2078" s="17"/>
      <c r="D2078" s="32"/>
    </row>
    <row r="2079" spans="2:4" x14ac:dyDescent="0.2">
      <c r="B2079" s="5"/>
      <c r="C2079" s="17"/>
      <c r="D2079" s="32"/>
    </row>
    <row r="2080" spans="2:4" x14ac:dyDescent="0.2">
      <c r="B2080" s="5"/>
      <c r="C2080" s="17"/>
      <c r="D2080" s="32"/>
    </row>
    <row r="2081" spans="2:4" x14ac:dyDescent="0.2">
      <c r="B2081" s="5"/>
      <c r="C2081" s="17"/>
      <c r="D2081" s="32"/>
    </row>
    <row r="2082" spans="2:4" x14ac:dyDescent="0.2">
      <c r="B2082" s="5"/>
      <c r="C2082" s="17"/>
      <c r="D2082" s="32"/>
    </row>
    <row r="2083" spans="2:4" x14ac:dyDescent="0.2">
      <c r="B2083" s="5"/>
      <c r="C2083" s="17"/>
      <c r="D2083" s="32"/>
    </row>
    <row r="2084" spans="2:4" x14ac:dyDescent="0.2">
      <c r="B2084" s="5"/>
      <c r="C2084" s="17"/>
      <c r="D2084" s="32"/>
    </row>
    <row r="2085" spans="2:4" x14ac:dyDescent="0.2">
      <c r="B2085" s="5"/>
      <c r="C2085" s="17"/>
      <c r="D2085" s="32"/>
    </row>
    <row r="2086" spans="2:4" x14ac:dyDescent="0.2">
      <c r="B2086" s="5"/>
      <c r="C2086" s="17"/>
      <c r="D2086" s="32"/>
    </row>
    <row r="2087" spans="2:4" x14ac:dyDescent="0.2">
      <c r="B2087" s="5"/>
      <c r="C2087" s="17"/>
      <c r="D2087" s="32"/>
    </row>
    <row r="2088" spans="2:4" x14ac:dyDescent="0.2">
      <c r="B2088" s="5"/>
      <c r="C2088" s="17"/>
      <c r="D2088" s="32"/>
    </row>
    <row r="2089" spans="2:4" x14ac:dyDescent="0.2">
      <c r="B2089" s="5"/>
      <c r="C2089" s="17"/>
      <c r="D2089" s="32"/>
    </row>
    <row r="2090" spans="2:4" x14ac:dyDescent="0.2">
      <c r="B2090" s="5"/>
      <c r="C2090" s="17"/>
      <c r="D2090" s="32"/>
    </row>
    <row r="2091" spans="2:4" x14ac:dyDescent="0.2">
      <c r="B2091" s="5"/>
      <c r="C2091" s="17"/>
      <c r="D2091" s="32"/>
    </row>
    <row r="2092" spans="2:4" x14ac:dyDescent="0.2">
      <c r="B2092" s="5"/>
      <c r="C2092" s="17"/>
      <c r="D2092" s="32"/>
    </row>
    <row r="2093" spans="2:4" x14ac:dyDescent="0.2">
      <c r="B2093" s="5"/>
      <c r="C2093" s="17"/>
      <c r="D2093" s="32"/>
    </row>
    <row r="2094" spans="2:4" x14ac:dyDescent="0.2">
      <c r="B2094" s="5"/>
      <c r="C2094" s="17"/>
      <c r="D2094" s="32"/>
    </row>
    <row r="2095" spans="2:4" x14ac:dyDescent="0.2">
      <c r="B2095" s="5"/>
      <c r="C2095" s="17"/>
      <c r="D2095" s="32"/>
    </row>
    <row r="2096" spans="2:4" x14ac:dyDescent="0.2">
      <c r="B2096" s="5"/>
      <c r="C2096" s="17"/>
      <c r="D2096" s="32"/>
    </row>
    <row r="2097" spans="2:4" x14ac:dyDescent="0.2">
      <c r="B2097" s="5"/>
      <c r="C2097" s="17"/>
      <c r="D2097" s="32"/>
    </row>
    <row r="2098" spans="2:4" x14ac:dyDescent="0.2">
      <c r="B2098" s="5"/>
      <c r="C2098" s="17"/>
      <c r="D2098" s="32"/>
    </row>
    <row r="2099" spans="2:4" x14ac:dyDescent="0.2">
      <c r="B2099" s="5"/>
      <c r="C2099" s="17"/>
      <c r="D2099" s="32"/>
    </row>
    <row r="2100" spans="2:4" x14ac:dyDescent="0.2">
      <c r="B2100" s="5"/>
      <c r="C2100" s="17"/>
      <c r="D2100" s="32"/>
    </row>
    <row r="2101" spans="2:4" x14ac:dyDescent="0.2">
      <c r="B2101" s="5"/>
      <c r="C2101" s="17"/>
      <c r="D2101" s="32"/>
    </row>
    <row r="2102" spans="2:4" x14ac:dyDescent="0.2">
      <c r="B2102" s="5"/>
      <c r="C2102" s="17"/>
      <c r="D2102" s="32"/>
    </row>
    <row r="2103" spans="2:4" x14ac:dyDescent="0.2">
      <c r="B2103" s="5"/>
      <c r="C2103" s="17"/>
      <c r="D2103" s="32"/>
    </row>
    <row r="2104" spans="2:4" x14ac:dyDescent="0.2">
      <c r="B2104" s="5"/>
      <c r="C2104" s="17"/>
      <c r="D2104" s="32"/>
    </row>
    <row r="2105" spans="2:4" x14ac:dyDescent="0.2">
      <c r="B2105" s="5"/>
      <c r="C2105" s="17"/>
      <c r="D2105" s="32"/>
    </row>
    <row r="2106" spans="2:4" x14ac:dyDescent="0.2">
      <c r="B2106" s="5"/>
      <c r="C2106" s="17"/>
      <c r="D2106" s="32"/>
    </row>
    <row r="2107" spans="2:4" x14ac:dyDescent="0.2">
      <c r="B2107" s="5"/>
      <c r="C2107" s="17"/>
      <c r="D2107" s="32"/>
    </row>
    <row r="2108" spans="2:4" x14ac:dyDescent="0.2">
      <c r="B2108" s="5"/>
      <c r="C2108" s="17"/>
      <c r="D2108" s="32"/>
    </row>
    <row r="2109" spans="2:4" x14ac:dyDescent="0.2">
      <c r="B2109" s="5"/>
      <c r="C2109" s="17"/>
      <c r="D2109" s="32"/>
    </row>
    <row r="2110" spans="2:4" x14ac:dyDescent="0.2">
      <c r="B2110" s="5"/>
      <c r="C2110" s="17"/>
      <c r="D2110" s="32"/>
    </row>
    <row r="2111" spans="2:4" x14ac:dyDescent="0.2">
      <c r="B2111" s="5"/>
      <c r="C2111" s="17"/>
      <c r="D2111" s="32"/>
    </row>
    <row r="2112" spans="2:4" x14ac:dyDescent="0.2">
      <c r="B2112" s="5"/>
      <c r="C2112" s="17"/>
      <c r="D2112" s="32"/>
    </row>
    <row r="2113" spans="2:4" x14ac:dyDescent="0.2">
      <c r="B2113" s="5"/>
      <c r="C2113" s="17"/>
      <c r="D2113" s="32"/>
    </row>
    <row r="2114" spans="2:4" x14ac:dyDescent="0.2">
      <c r="B2114" s="5"/>
      <c r="C2114" s="17"/>
      <c r="D2114" s="32"/>
    </row>
    <row r="2115" spans="2:4" x14ac:dyDescent="0.2">
      <c r="B2115" s="5"/>
      <c r="C2115" s="17"/>
      <c r="D2115" s="32"/>
    </row>
    <row r="2116" spans="2:4" x14ac:dyDescent="0.2">
      <c r="B2116" s="5"/>
      <c r="C2116" s="17"/>
      <c r="D2116" s="32"/>
    </row>
    <row r="2117" spans="2:4" x14ac:dyDescent="0.2">
      <c r="B2117" s="5"/>
      <c r="C2117" s="17"/>
      <c r="D2117" s="32"/>
    </row>
    <row r="2118" spans="2:4" x14ac:dyDescent="0.2">
      <c r="B2118" s="5"/>
      <c r="C2118" s="17"/>
      <c r="D2118" s="32"/>
    </row>
    <row r="2119" spans="2:4" x14ac:dyDescent="0.2">
      <c r="B2119" s="5"/>
      <c r="C2119" s="17"/>
      <c r="D2119" s="32"/>
    </row>
    <row r="2120" spans="2:4" x14ac:dyDescent="0.2">
      <c r="B2120" s="5"/>
      <c r="C2120" s="17"/>
      <c r="D2120" s="32"/>
    </row>
    <row r="2121" spans="2:4" x14ac:dyDescent="0.2">
      <c r="B2121" s="5"/>
      <c r="C2121" s="17"/>
      <c r="D2121" s="32"/>
    </row>
    <row r="2122" spans="2:4" x14ac:dyDescent="0.2">
      <c r="B2122" s="5"/>
      <c r="C2122" s="17"/>
      <c r="D2122" s="32"/>
    </row>
    <row r="2123" spans="2:4" x14ac:dyDescent="0.2">
      <c r="B2123" s="5"/>
      <c r="C2123" s="17"/>
      <c r="D2123" s="32"/>
    </row>
    <row r="2124" spans="2:4" x14ac:dyDescent="0.2">
      <c r="B2124" s="5"/>
      <c r="C2124" s="17"/>
      <c r="D2124" s="32"/>
    </row>
    <row r="2125" spans="2:4" x14ac:dyDescent="0.2">
      <c r="B2125" s="5"/>
      <c r="C2125" s="17"/>
      <c r="D2125" s="32"/>
    </row>
    <row r="2126" spans="2:4" x14ac:dyDescent="0.2">
      <c r="B2126" s="5"/>
      <c r="C2126" s="17"/>
      <c r="D2126" s="32"/>
    </row>
    <row r="2127" spans="2:4" x14ac:dyDescent="0.2">
      <c r="B2127" s="5"/>
      <c r="C2127" s="17"/>
      <c r="D2127" s="32"/>
    </row>
    <row r="2128" spans="2:4" x14ac:dyDescent="0.2">
      <c r="B2128" s="5"/>
      <c r="C2128" s="17"/>
      <c r="D2128" s="32"/>
    </row>
    <row r="2129" spans="2:4" x14ac:dyDescent="0.2">
      <c r="B2129" s="5"/>
      <c r="C2129" s="17"/>
      <c r="D2129" s="32"/>
    </row>
    <row r="2130" spans="2:4" x14ac:dyDescent="0.2">
      <c r="B2130" s="5"/>
      <c r="C2130" s="17"/>
      <c r="D2130" s="32"/>
    </row>
    <row r="2131" spans="2:4" x14ac:dyDescent="0.2">
      <c r="B2131" s="5"/>
      <c r="C2131" s="17"/>
      <c r="D2131" s="32"/>
    </row>
    <row r="2132" spans="2:4" x14ac:dyDescent="0.2">
      <c r="B2132" s="5"/>
      <c r="C2132" s="17"/>
      <c r="D2132" s="32"/>
    </row>
    <row r="2133" spans="2:4" x14ac:dyDescent="0.2">
      <c r="B2133" s="5"/>
      <c r="C2133" s="17"/>
      <c r="D2133" s="32"/>
    </row>
    <row r="1048576" spans="10:10" x14ac:dyDescent="0.2">
      <c r="J1048576" s="1"/>
    </row>
  </sheetData>
  <autoFilter ref="A1:Q74" xr:uid="{43890DF9-78D5-D849-8002-AD05BBF27B37}">
    <filterColumn colId="0">
      <colorFilter dxfId="0"/>
    </filterColumn>
    <sortState xmlns:xlrd2="http://schemas.microsoft.com/office/spreadsheetml/2017/richdata2" ref="A3:Q72">
      <sortCondition ref="G1:G74"/>
    </sortState>
  </autoFilter>
  <conditionalFormatting sqref="E74:L74 N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:L45 H52:L53 H60:L65 N65 E67:L67 N67 E69:L74 N69:N74 H2:O44 E2:G65 N45:O45 H46:O51 O52 N53:O53 H54:O59 N60:O64 E66:O66 E68:O68">
    <cfRule type="containsText" dxfId="10" priority="10" operator="containsText" text="да">
      <formula>NOT(ISERROR(SEARCH("да",E2)))</formula>
    </cfRule>
  </conditionalFormatting>
  <conditionalFormatting sqref="H45:L45 H52:L53 H60:L65 N65 E67:L67 N67 E69:L74 N69:N74">
    <cfRule type="containsText" dxfId="9" priority="9" operator="containsText" text="нет">
      <formula>NOT(ISERROR(SEARCH("нет",E45)))</formula>
    </cfRule>
  </conditionalFormatting>
  <conditionalFormatting sqref="H69:L74 H2:O44 E2:G65 H45:L45 N45:O45 H46:O51 O52 H52:L53 N53:O53 H54:O59 N60:O64 H60:L65 N65 E66:O66 H67:L67 N67 E68:O68 N69:N74">
    <cfRule type="containsText" dxfId="8" priority="3" operator="containsText" text="нет">
      <formula>NOT(ISERROR(SEARCH("нет",E2)))</formula>
    </cfRule>
  </conditionalFormatting>
  <conditionalFormatting sqref="H2:O44 H45:L45 N45:O45 H46:O51 O52 H52:L53 N53:O53 H54:O59 N60:O64 H60:L65 N65 H66:O66 H67:L67 N67 H68:O68 H69:L74 N69:N74">
    <cfRule type="cellIs" dxfId="7" priority="4" operator="greaterThan">
      <formula>0</formula>
    </cfRule>
  </conditionalFormatting>
  <conditionalFormatting sqref="H2:O74">
    <cfRule type="cellIs" dxfId="6" priority="1" operator="equal">
      <formula>0</formula>
    </cfRule>
  </conditionalFormatting>
  <conditionalFormatting sqref="J3">
    <cfRule type="cellIs" dxfId="5" priority="5" operator="greaterThan">
      <formula>0</formula>
    </cfRule>
  </conditionalFormatting>
  <conditionalFormatting sqref="J1048576">
    <cfRule type="containsText" dxfId="4" priority="6" operator="containsText" text="нет">
      <formula>NOT(ISERROR(SEARCH("нет",J1048576)))</formula>
    </cfRule>
    <cfRule type="containsText" dxfId="3" priority="7" operator="containsText" text="да">
      <formula>NOT(ISERROR(SEARCH("да",J1048576)))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 Q52 Q59">
    <cfRule type="containsText" dxfId="2" priority="33" operator="containsText" text="нет">
      <formula>NOT(ISERROR(SEARCH("нет",Q11)))</formula>
    </cfRule>
    <cfRule type="containsText" dxfId="1" priority="34" operator="containsText" text="да">
      <formula>NOT(ISERROR(SEARCH("да",Q11)))</formula>
    </cfRule>
  </conditionalFormatting>
  <conditionalFormatting sqref="Q11 Q59 Q52 H67:L67 N67 H69:L73 N45:O45 H45:L45 H46:O51 O52 H52:L53 N53:O53 H54:O59 H60:L65 N60:O64 N65 H66:O66 H68:O68 N69:N73 E45:G73 E2:O4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Гиль</dc:creator>
  <cp:lastModifiedBy>a9748</cp:lastModifiedBy>
  <dcterms:created xsi:type="dcterms:W3CDTF">2025-12-08T07:58:58Z</dcterms:created>
  <dcterms:modified xsi:type="dcterms:W3CDTF">2026-03-22T10:31:52Z</dcterms:modified>
</cp:coreProperties>
</file>